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d'évaluation" sheetId="1" state="visible" r:id="rId3"/>
    <sheet name="Rapport d'évaluation_2" sheetId="2" state="hidden" r:id="rId4"/>
  </sheets>
  <definedNames>
    <definedName function="false" hidden="false" name="Athlètes" vbProcedure="false">'Rapport d''évaluation'!$Q$2:$Q$45</definedName>
    <definedName function="false" hidden="false" name="Dates" vbProcedure="false">'Rapport d''évaluation'!$T$2:$T$4</definedName>
    <definedName function="false" hidden="false" name="Dates2" vbProcedure="false">'Rapport d''évaluation'!$T:$T</definedName>
    <definedName function="false" hidden="false" name="Equipes" vbProcedure="false">'rapport d''évaluation'!#ref!</definedName>
    <definedName function="false" hidden="false" name="ListeTests" vbProcedure="false">'Rapport d''évaluation'!$N$2:$N$16</definedName>
    <definedName function="false" hidden="false" name="Noms" vbProcedure="false">'rapport d''évaluation'!#ref!</definedName>
    <definedName function="false" hidden="false" name="Prénom" vbProcedure="false">'Rapport d''évaluation'!$I:$I</definedName>
    <definedName function="false" hidden="false" name="Prénoms" vbProcedure="false">'Rapport d''évaluation'!$O:$O</definedName>
    <definedName function="false" hidden="false" name="Prénoms2" vbProcedure="false">'Rapport d''évaluation'!$O$2:$O$26</definedName>
    <definedName function="false" hidden="false" name="Sports" vbProcedure="false">'Rapport d''évaluation'!$O$2:$O$45</definedName>
    <definedName function="false" hidden="false" localSheetId="1" name="Athlètes" vbProcedure="false">'Rapport d''évaluation_2'!$Q$2:$Q$45</definedName>
    <definedName function="false" hidden="false" localSheetId="1" name="Dates" vbProcedure="false">'Rapport d''évaluation_2'!$T$2:$T$4</definedName>
    <definedName function="false" hidden="false" localSheetId="1" name="Dates2" vbProcedure="false">'Rapport d''évaluation_2'!$T:$T</definedName>
    <definedName function="false" hidden="false" localSheetId="1" name="ListeTests" vbProcedure="false">'Rapport d''évaluation_2'!$N$2:$N$16</definedName>
    <definedName function="false" hidden="false" localSheetId="1" name="Prénom" vbProcedure="false">'Rapport d''évaluation_2'!$I:$I</definedName>
    <definedName function="false" hidden="false" localSheetId="1" name="Prénoms" vbProcedure="false">'Rapport d''évaluation_2'!$O:$O</definedName>
    <definedName function="false" hidden="false" localSheetId="1" name="Prénoms2" vbProcedure="false">'Rapport d''évaluation_2'!$O$2:$O$26</definedName>
    <definedName function="false" hidden="false" localSheetId="1" name="Sports" vbProcedure="false">'Rapport d''évaluation_2'!$O$2:$O$45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<sst xmlns="http://schemas.openxmlformats.org/spreadsheetml/2006/main" count="629" uniqueCount="77">
  <si>
    <t xml:space="preserve">Rapport n°1</t>
  </si>
  <si>
    <t xml:space="preserve">Prénom</t>
  </si>
  <si>
    <t xml:space="preserve">Date</t>
  </si>
  <si>
    <t xml:space="preserve">Test</t>
  </si>
  <si>
    <t xml:space="preserve">Perf</t>
  </si>
  <si>
    <t xml:space="preserve">Tests</t>
  </si>
  <si>
    <t xml:space="preserve">Prénoms</t>
  </si>
  <si>
    <t xml:space="preserve">Noms</t>
  </si>
  <si>
    <t xml:space="preserve">Poste</t>
  </si>
  <si>
    <t xml:space="preserve">Taille</t>
  </si>
  <si>
    <t xml:space="preserve">Poids</t>
  </si>
  <si>
    <t xml:space="preserve">Dates</t>
  </si>
  <si>
    <t xml:space="preserve">Nolan</t>
  </si>
  <si>
    <t xml:space="preserve">20 m</t>
  </si>
  <si>
    <t xml:space="preserve">Athlète</t>
  </si>
  <si>
    <t xml:space="preserve">Priorités</t>
  </si>
  <si>
    <t xml:space="preserve">Equipe</t>
  </si>
  <si>
    <t xml:space="preserve">Edwins</t>
  </si>
  <si>
    <t xml:space="preserve">BJ</t>
  </si>
  <si>
    <t xml:space="preserve">Nassim</t>
  </si>
  <si>
    <t xml:space="preserve">Tiago</t>
  </si>
  <si>
    <t xml:space="preserve">Cazorla</t>
  </si>
  <si>
    <t xml:space="preserve">Nom</t>
  </si>
  <si>
    <t xml:space="preserve">Conduite</t>
  </si>
  <si>
    <t xml:space="preserve">Anas</t>
  </si>
  <si>
    <t xml:space="preserve">Jongles SF</t>
  </si>
  <si>
    <t xml:space="preserve">Benhammou</t>
  </si>
  <si>
    <t xml:space="preserve">Rayane</t>
  </si>
  <si>
    <t xml:space="preserve">Jongles WF</t>
  </si>
  <si>
    <t xml:space="preserve">Zakaria</t>
  </si>
  <si>
    <t xml:space="preserve">Paul</t>
  </si>
  <si>
    <t xml:space="preserve">Résultats individuels &amp; classement dans l'équipe</t>
  </si>
  <si>
    <t xml:space="preserve">Ilies</t>
  </si>
  <si>
    <t xml:space="preserve">date</t>
  </si>
  <si>
    <t xml:space="preserve">Equipe -</t>
  </si>
  <si>
    <t xml:space="preserve">Equipe </t>
  </si>
  <si>
    <t xml:space="preserve">Equipe +</t>
  </si>
  <si>
    <t xml:space="preserve">Best</t>
  </si>
  <si>
    <t xml:space="preserve">Sofiane</t>
  </si>
  <si>
    <t xml:space="preserve">Valentin</t>
  </si>
  <si>
    <t xml:space="preserve">Naël</t>
  </si>
  <si>
    <t xml:space="preserve">Kais</t>
  </si>
  <si>
    <t xml:space="preserve">Farouk</t>
  </si>
  <si>
    <t xml:space="preserve">Bilel</t>
  </si>
  <si>
    <t xml:space="preserve">Abdoulaye</t>
  </si>
  <si>
    <t xml:space="preserve">Lucas</t>
  </si>
  <si>
    <t xml:space="preserve">Axel</t>
  </si>
  <si>
    <t xml:space="preserve">Lotfi</t>
  </si>
  <si>
    <t xml:space="preserve">Ali</t>
  </si>
  <si>
    <t xml:space="preserve">Salmane</t>
  </si>
  <si>
    <t xml:space="preserve">Sohan</t>
  </si>
  <si>
    <t xml:space="preserve">Livens</t>
  </si>
  <si>
    <t xml:space="preserve">Quentin</t>
  </si>
  <si>
    <t xml:space="preserve">Rivière</t>
  </si>
  <si>
    <t xml:space="preserve">Ailier</t>
  </si>
  <si>
    <t xml:space="preserve">Nb joueurs</t>
  </si>
  <si>
    <t xml:space="preserve">Taille &amp; poids moyen</t>
  </si>
  <si>
    <t xml:space="preserve">Profil de l'athlète</t>
  </si>
  <si>
    <t xml:space="preserve">Ecart type</t>
  </si>
  <si>
    <t xml:space="preserve">Moyenne</t>
  </si>
  <si>
    <t xml:space="preserve">Convertir un temps en vitesse</t>
  </si>
  <si>
    <t xml:space="preserve">1er quartile</t>
  </si>
  <si>
    <t xml:space="preserve">Distance (m)</t>
  </si>
  <si>
    <t xml:space="preserve">temps (s)</t>
  </si>
  <si>
    <t xml:space="preserve">Vitesse (km/h)</t>
  </si>
  <si>
    <t xml:space="preserve">2e quartile</t>
  </si>
  <si>
    <t xml:space="preserve">3e quartile</t>
  </si>
  <si>
    <t xml:space="preserve">4e quartile</t>
  </si>
  <si>
    <t xml:space="preserve">Pré</t>
  </si>
  <si>
    <t xml:space="preserve">Post</t>
  </si>
  <si>
    <t xml:space="preserve">CMJ</t>
  </si>
  <si>
    <t xml:space="preserve">30 m</t>
  </si>
  <si>
    <t xml:space="preserve">Pro-agility</t>
  </si>
  <si>
    <t xml:space="preserve">DJ</t>
  </si>
  <si>
    <t xml:space="preserve">30-15 IFT</t>
  </si>
  <si>
    <t xml:space="preserve">%</t>
  </si>
  <si>
    <t xml:space="preserve">XX-XX-202X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</si>
</sst>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"/>
    <numFmt numFmtId="166" formatCode="dd\-mmm"/>
    <numFmt numFmtId="167" formatCode="[$-40C]d\-mmm;@"/>
    <numFmt numFmtId="168" formatCode="d/m;@"/>
    <numFmt numFmtId="169" formatCode="General"/>
    <numFmt numFmtId="170" formatCode="0\ %"/>
    <numFmt numFmtId="171" formatCode="0.0"/>
    <numFmt numFmtId="172" formatCode="0"/>
    <numFmt numFmtId="173" formatCode="0.00"/>
    <numFmt numFmtId="174" formatCode="0.0%"/>
  </numFmts>
  <fonts count="14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6"/>
      <color rgb="FF44546A"/>
      <name val="Calibri"/>
      <family val="2"/>
    </font>
    <font>
      <sz val="10"/>
      <color rgb="FF000000"/>
      <name val="Calibri"/>
      <family val="2"/>
    </font>
    <font>
      <sz val="14"/>
      <color rgb="FF44546A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5"/>
        <bgColor rgb="FFDAE3F3"/>
      </patternFill>
    </fill>
    <fill>
      <patternFill patternType="solid">
        <fgColor theme="0" tint="-0.25"/>
        <bgColor rgb="FFB2B2B2"/>
      </patternFill>
    </fill>
    <fill>
      <patternFill patternType="solid">
        <fgColor rgb="FFFFFF00"/>
        <bgColor rgb="FFFFBF00"/>
      </patternFill>
    </fill>
    <fill>
      <patternFill patternType="solid">
        <fgColor theme="0" tint="-0.05"/>
        <bgColor rgb="FFE2F0DB"/>
      </patternFill>
    </fill>
    <fill>
      <patternFill patternType="solid">
        <fgColor rgb="FFFFAEA5"/>
        <bgColor rgb="FFE0C2CD"/>
      </patternFill>
    </fill>
    <fill>
      <patternFill patternType="solid">
        <fgColor theme="7" tint="0.7999"/>
        <bgColor rgb="FFFFF3CC"/>
      </patternFill>
    </fill>
    <fill>
      <patternFill patternType="solid">
        <fgColor theme="9" tint="0.7999"/>
        <bgColor rgb="FFE2F0DB"/>
      </patternFill>
    </fill>
    <fill>
      <patternFill patternType="solid">
        <fgColor theme="9" tint="0.5999"/>
        <bgColor rgb="FFD9D9D9"/>
      </patternFill>
    </fill>
    <fill>
      <patternFill patternType="solid">
        <fgColor rgb="FF81D41A"/>
        <bgColor rgb="FFB2B2B2"/>
      </patternFill>
    </fill>
    <fill>
      <patternFill patternType="solid">
        <fgColor rgb="FFFFBF00"/>
        <bgColor rgb="FFFF9900"/>
      </patternFill>
    </fill>
    <fill>
      <patternFill patternType="solid">
        <fgColor theme="4" tint="0.7999"/>
        <bgColor rgb="FFD9D9D9"/>
      </patternFill>
    </fill>
    <fill>
      <patternFill patternType="solid">
        <fgColor rgb="FFFF4000"/>
        <bgColor rgb="FFFF0000"/>
      </patternFill>
    </fill>
    <fill>
      <patternFill patternType="solid">
        <fgColor rgb="FFF7D1D5"/>
        <bgColor rgb="FFE0C2CD"/>
      </patternFill>
    </fill>
    <fill>
      <patternFill patternType="solid">
        <fgColor rgb="FFFF0000"/>
        <bgColor rgb="FFFF4000"/>
      </patternFill>
    </fill>
    <fill>
      <patternFill patternType="solid">
        <fgColor rgb="FFE0C2CD"/>
        <bgColor rgb="FFF7D1D5"/>
      </patternFill>
    </fill>
    <fill>
      <patternFill patternType="solid">
        <fgColor rgb="FFB2B2B2"/>
        <bgColor rgb="FFBFBFBF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ck"/>
      <right style="dashed"/>
      <top style="thick"/>
      <bottom style="medium"/>
      <diagonal/>
    </border>
    <border diagonalUp="false" diagonalDown="false">
      <left style="dashed"/>
      <right style="dashed"/>
      <top style="thick"/>
      <bottom style="medium"/>
      <diagonal/>
    </border>
    <border diagonalUp="false" diagonalDown="false">
      <left style="dashed"/>
      <right/>
      <top style="thick"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ck"/>
      <top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ck"/>
      <diagonal/>
    </border>
    <border diagonalUp="false" diagonalDown="false">
      <left style="medium"/>
      <right style="thick"/>
      <top/>
      <bottom style="thick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medium"/>
      <right/>
      <top/>
      <bottom style="thick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dashed"/>
      <right style="dashed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 style="thick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ashed"/>
      <right style="dashed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ck"/>
      <top style="hair"/>
      <bottom style="hair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 style="medium"/>
      <top style="hair"/>
      <bottom style="thick"/>
      <diagonal/>
    </border>
    <border diagonalUp="false" diagonalDown="false">
      <left style="medium"/>
      <right style="medium"/>
      <top style="hair"/>
      <bottom style="thick"/>
      <diagonal/>
    </border>
    <border diagonalUp="false" diagonalDown="false">
      <left/>
      <right/>
      <top style="hair"/>
      <bottom style="thick"/>
      <diagonal/>
    </border>
    <border diagonalUp="false" diagonalDown="false">
      <left style="dashed"/>
      <right style="dashed"/>
      <top style="hair"/>
      <bottom style="thick"/>
      <diagonal/>
    </border>
    <border diagonalUp="false" diagonalDown="false">
      <left style="medium"/>
      <right style="thick"/>
      <top style="hair"/>
      <bottom style="thick"/>
      <diagonal/>
    </border>
    <border diagonalUp="false" diagonalDown="false">
      <left style="dashed"/>
      <right style="dashed"/>
      <top/>
      <bottom style="thick"/>
      <diagonal/>
    </border>
    <border diagonalUp="false" diagonalDown="false">
      <left style="dashed"/>
      <right/>
      <top/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dashed"/>
      <right/>
      <top/>
      <bottom style="hair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 style="dashed"/>
      <right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2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6" fontId="0" fillId="6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3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4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2" borderId="4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7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4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5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5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7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5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0" borderId="6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4" borderId="6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6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" borderId="6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4" borderId="6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4" borderId="6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0" fillId="4" borderId="68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6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6" borderId="2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4" fontId="0" fillId="13" borderId="7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3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3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13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4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3" borderId="4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4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4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5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8" fontId="0" fillId="13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3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5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7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7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8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1">
    <dxf>
      <fill>
        <patternFill patternType="solid">
          <fgColor rgb="FF81D41A"/>
          <bgColor rgb="FF000000"/>
        </patternFill>
      </fill>
    </dxf>
    <dxf>
      <fill>
        <patternFill patternType="solid">
          <fgColor rgb="FFB2B2B2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0C2CD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3CC"/>
      <rgbColor rgb="FFE2F0DB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2CC"/>
      <rgbColor rgb="FFC5E0B4"/>
      <rgbColor rgb="FFFFAEA5"/>
      <rgbColor rgb="FFE0C2CD"/>
      <rgbColor rgb="FFF7D1D5"/>
      <rgbColor rgb="FF4472C4"/>
      <rgbColor rgb="FF33CCCC"/>
      <rgbColor rgb="FF81D41A"/>
      <rgbColor rgb="FFFFBF00"/>
      <rgbColor rgb="FFFF9900"/>
      <rgbColor rgb="FFFF4000"/>
      <rgbColor rgb="FF44546A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d''évaluation'!$G$3</c:f>
              <c:strCache>
                <c:ptCount val="1"/>
                <c:pt idx="0">
                  <c:v>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d''évaluation'!$G$4:$G$8</c:f>
              <c:numCache>
                <c:formatCode>General</c:formatCode>
                <c:ptCount val="5"/>
                <c:pt idx="0">
                  <c:v>0.926612903225806</c:v>
                </c:pt>
                <c:pt idx="1">
                  <c:v>0.922746144721234</c:v>
                </c:pt>
                <c:pt idx="2">
                  <c:v>0.866616394606104</c:v>
                </c:pt>
                <c:pt idx="3">
                  <c:v>0.362723214285714</c:v>
                </c:pt>
                <c:pt idx="4">
                  <c:v>0.475</c:v>
                </c:pt>
              </c:numCache>
            </c:numRef>
          </c:val>
        </c:ser>
        <c:ser>
          <c:idx val="1"/>
          <c:order val="1"/>
          <c:tx>
            <c:strRef>
              <c:f>'Rapport d''évaluation'!$F$3</c:f>
              <c:strCache>
                <c:ptCount val="1"/>
                <c:pt idx="0">
                  <c:v>Nassim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20 m</c:v>
                </c:pt>
                <c:pt idx="1">
                  <c:v>Cazorla</c:v>
                </c:pt>
                <c:pt idx="2">
                  <c:v>Conduite</c:v>
                </c:pt>
                <c:pt idx="3">
                  <c:v>Jongles SF</c:v>
                </c:pt>
                <c:pt idx="4">
                  <c:v>Jongles WF</c:v>
                </c:pt>
              </c:strCache>
            </c:strRef>
          </c:cat>
          <c:val>
            <c:numRef>
              <c:f>'Rapport d''évaluation'!$F$4:$F$8</c:f>
              <c:numCache>
                <c:formatCode>General</c:formatCode>
                <c:ptCount val="5"/>
                <c:pt idx="0">
                  <c:v>0.965591397849462</c:v>
                </c:pt>
                <c:pt idx="1">
                  <c:v>0.957295373665481</c:v>
                </c:pt>
                <c:pt idx="2">
                  <c:v>0.842441447835344</c:v>
                </c:pt>
                <c:pt idx="3">
                  <c:v>0.625</c:v>
                </c:pt>
                <c:pt idx="4">
                  <c:v>0.6</c:v>
                </c:pt>
              </c:numCache>
            </c:numRef>
          </c:val>
        </c:ser>
        <c:axId val="19019512"/>
        <c:axId val="19681456"/>
      </c:radarChart>
      <c:catAx>
        <c:axId val="19019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19681456"/>
        <c:crosses val="autoZero"/>
        <c:auto val="1"/>
        <c:lblAlgn val="ctr"/>
        <c:lblOffset val="100"/>
        <c:noMultiLvlLbl val="0"/>
      </c:catAx>
      <c:valAx>
        <c:axId val="19681456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\ 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19512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d''évaluation'!$F$49</c:f>
              <c:strCache>
                <c:ptCount val="1"/>
                <c:pt idx="0">
                  <c:v>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d''évaluation'!$F$50:$F$54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'Rapport d''évaluation'!$G$49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CMJ</c:v>
                </c:pt>
                <c:pt idx="1">
                  <c:v>30 m</c:v>
                </c:pt>
                <c:pt idx="2">
                  <c:v>Pro-agility</c:v>
                </c:pt>
                <c:pt idx="3">
                  <c:v>DJ</c:v>
                </c:pt>
                <c:pt idx="4">
                  <c:v>30-15 IFT</c:v>
                </c:pt>
              </c:strCache>
            </c:strRef>
          </c:cat>
          <c:val>
            <c:numRef>
              <c:f>'Rapport d''évaluation'!$G$50:$G$54</c:f>
              <c:numCache>
                <c:formatCode>General</c:formatCode>
                <c:ptCount val="5"/>
              </c:numCache>
            </c:numRef>
          </c:val>
        </c:ser>
        <c:axId val="49459109"/>
        <c:axId val="48198194"/>
      </c:radarChart>
      <c:catAx>
        <c:axId val="494591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48198194"/>
        <c:crosses val="autoZero"/>
        <c:auto val="1"/>
        <c:lblAlgn val="ctr"/>
        <c:lblOffset val="100"/>
        <c:noMultiLvlLbl val="0"/>
      </c:catAx>
      <c:valAx>
        <c:axId val="48198194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59109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Equipe 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0.772022551092318</c:v>
                </c:pt>
                <c:pt idx="1">
                  <c:v>0.87910307257828</c:v>
                </c:pt>
                <c:pt idx="2">
                  <c:v>0.91425006222294</c:v>
                </c:pt>
                <c:pt idx="3">
                  <c:v>0.790313852813853</c:v>
                </c:pt>
                <c:pt idx="4">
                  <c:v>0.893506493506494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Josué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axId val="87033316"/>
        <c:axId val="10016923"/>
      </c:radarChart>
      <c:catAx>
        <c:axId val="870333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10016923"/>
        <c:crosses val="autoZero"/>
        <c:auto val="1"/>
        <c:lblAlgn val="ctr"/>
        <c:lblOffset val="100"/>
        <c:noMultiLvlLbl val="0"/>
      </c:catAx>
      <c:valAx>
        <c:axId val="10016923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33316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Pré 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Post 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</c:numCache>
            </c:numRef>
          </c:val>
        </c:ser>
        <c:axId val="46332321"/>
        <c:axId val="97776969"/>
      </c:radarChart>
      <c:catAx>
        <c:axId val="463323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97776969"/>
        <c:crosses val="autoZero"/>
        <c:auto val="1"/>
        <c:lblAlgn val="ctr"/>
        <c:lblOffset val="100"/>
        <c:noMultiLvlLbl val="0"/>
      </c:catAx>
      <c:valAx>
        <c:axId val="97776969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32321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chart" Target="../charts/chart4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695880</xdr:colOff>
      <xdr:row>48</xdr:row>
      <xdr:rowOff>43920</xdr:rowOff>
    </xdr:to>
    <xdr:graphicFrame>
      <xdr:nvGraphicFramePr>
        <xdr:cNvPr id="0" name="Graphique 2"/>
        <xdr:cNvGraphicFramePr/>
      </xdr:nvGraphicFramePr>
      <xdr:xfrm>
        <a:off x="94680" y="5570640"/>
        <a:ext cx="5676840" cy="38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3</xdr:row>
      <xdr:rowOff>0</xdr:rowOff>
    </xdr:from>
    <xdr:to>
      <xdr:col>0</xdr:col>
      <xdr:colOff>943200</xdr:colOff>
      <xdr:row>8</xdr:row>
      <xdr:rowOff>110160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1520" y="677520"/>
          <a:ext cx="841680" cy="106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695880</xdr:colOff>
      <xdr:row>93</xdr:row>
      <xdr:rowOff>159840</xdr:rowOff>
    </xdr:to>
    <xdr:graphicFrame>
      <xdr:nvGraphicFramePr>
        <xdr:cNvPr id="2" name="Graphique 3"/>
        <xdr:cNvGraphicFramePr/>
      </xdr:nvGraphicFramePr>
      <xdr:xfrm>
        <a:off x="94680" y="14483160"/>
        <a:ext cx="5676840" cy="37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49</xdr:row>
      <xdr:rowOff>0</xdr:rowOff>
    </xdr:from>
    <xdr:to>
      <xdr:col>0</xdr:col>
      <xdr:colOff>943200</xdr:colOff>
      <xdr:row>54</xdr:row>
      <xdr:rowOff>122400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1520" y="9618480"/>
          <a:ext cx="841680" cy="107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100800</xdr:colOff>
      <xdr:row>51</xdr:row>
      <xdr:rowOff>119160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7820000" y="9050400"/>
          <a:ext cx="85068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189720</xdr:colOff>
      <xdr:row>51</xdr:row>
      <xdr:rowOff>123480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8743400" y="9054720"/>
          <a:ext cx="83844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257400</xdr:colOff>
      <xdr:row>51</xdr:row>
      <xdr:rowOff>117360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9633320" y="9048600"/>
          <a:ext cx="83880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354960</xdr:colOff>
      <xdr:row>51</xdr:row>
      <xdr:rowOff>119160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0553480" y="9050400"/>
          <a:ext cx="855720" cy="106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695880</xdr:colOff>
      <xdr:row>46</xdr:row>
      <xdr:rowOff>159840</xdr:rowOff>
    </xdr:to>
    <xdr:graphicFrame>
      <xdr:nvGraphicFramePr>
        <xdr:cNvPr id="8" name="Graphique 2"/>
        <xdr:cNvGraphicFramePr/>
      </xdr:nvGraphicFramePr>
      <xdr:xfrm>
        <a:off x="94680" y="6051600"/>
        <a:ext cx="5676840" cy="38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2</xdr:row>
      <xdr:rowOff>237240</xdr:rowOff>
    </xdr:from>
    <xdr:to>
      <xdr:col>0</xdr:col>
      <xdr:colOff>943200</xdr:colOff>
      <xdr:row>7</xdr:row>
      <xdr:rowOff>204480</xdr:rowOff>
    </xdr:to>
    <xdr:pic>
      <xdr:nvPicPr>
        <xdr:cNvPr id="9" name="Image 1" descr=""/>
        <xdr:cNvPicPr/>
      </xdr:nvPicPr>
      <xdr:blipFill>
        <a:blip r:embed="rId2"/>
        <a:stretch/>
      </xdr:blipFill>
      <xdr:spPr>
        <a:xfrm>
          <a:off x="101520" y="713520"/>
          <a:ext cx="841680" cy="106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695880</xdr:colOff>
      <xdr:row>92</xdr:row>
      <xdr:rowOff>159840</xdr:rowOff>
    </xdr:to>
    <xdr:graphicFrame>
      <xdr:nvGraphicFramePr>
        <xdr:cNvPr id="10" name="Graphique 3"/>
        <xdr:cNvGraphicFramePr/>
      </xdr:nvGraphicFramePr>
      <xdr:xfrm>
        <a:off x="94680" y="15824160"/>
        <a:ext cx="5676840" cy="37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48</xdr:row>
      <xdr:rowOff>237240</xdr:rowOff>
    </xdr:from>
    <xdr:to>
      <xdr:col>0</xdr:col>
      <xdr:colOff>943200</xdr:colOff>
      <xdr:row>54</xdr:row>
      <xdr:rowOff>6840</xdr:rowOff>
    </xdr:to>
    <xdr:pic>
      <xdr:nvPicPr>
        <xdr:cNvPr id="11" name="Image 4" descr=""/>
        <xdr:cNvPicPr/>
      </xdr:nvPicPr>
      <xdr:blipFill>
        <a:blip r:embed="rId4"/>
        <a:stretch/>
      </xdr:blipFill>
      <xdr:spPr>
        <a:xfrm>
          <a:off x="101520" y="10476720"/>
          <a:ext cx="841680" cy="107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100800</xdr:colOff>
      <xdr:row>50</xdr:row>
      <xdr:rowOff>159840</xdr:rowOff>
    </xdr:to>
    <xdr:pic>
      <xdr:nvPicPr>
        <xdr:cNvPr id="12" name="Image 5" descr=""/>
        <xdr:cNvPicPr/>
      </xdr:nvPicPr>
      <xdr:blipFill>
        <a:blip r:embed="rId5"/>
        <a:stretch/>
      </xdr:blipFill>
      <xdr:spPr>
        <a:xfrm>
          <a:off x="17820000" y="9826560"/>
          <a:ext cx="85068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189720</xdr:colOff>
      <xdr:row>50</xdr:row>
      <xdr:rowOff>164160</xdr:rowOff>
    </xdr:to>
    <xdr:pic>
      <xdr:nvPicPr>
        <xdr:cNvPr id="13" name="Image 6" descr=""/>
        <xdr:cNvPicPr/>
      </xdr:nvPicPr>
      <xdr:blipFill>
        <a:blip r:embed="rId6"/>
        <a:stretch/>
      </xdr:blipFill>
      <xdr:spPr>
        <a:xfrm>
          <a:off x="18743400" y="9830880"/>
          <a:ext cx="83844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257400</xdr:colOff>
      <xdr:row>50</xdr:row>
      <xdr:rowOff>158040</xdr:rowOff>
    </xdr:to>
    <xdr:pic>
      <xdr:nvPicPr>
        <xdr:cNvPr id="14" name="Image 7" descr=""/>
        <xdr:cNvPicPr/>
      </xdr:nvPicPr>
      <xdr:blipFill>
        <a:blip r:embed="rId7"/>
        <a:stretch/>
      </xdr:blipFill>
      <xdr:spPr>
        <a:xfrm>
          <a:off x="19633320" y="9824760"/>
          <a:ext cx="838800" cy="106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354960</xdr:colOff>
      <xdr:row>50</xdr:row>
      <xdr:rowOff>159840</xdr:rowOff>
    </xdr:to>
    <xdr:pic>
      <xdr:nvPicPr>
        <xdr:cNvPr id="15" name="Image 8" descr=""/>
        <xdr:cNvPicPr/>
      </xdr:nvPicPr>
      <xdr:blipFill>
        <a:blip r:embed="rId8"/>
        <a:stretch/>
      </xdr:blipFill>
      <xdr:spPr>
        <a:xfrm>
          <a:off x="20553480" y="9826560"/>
          <a:ext cx="855720" cy="1068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Datas" displayName="TableauDatas" ref="I1:L1297" headerRowCount="1" totalsRowCount="0" totalsRowShown="0">
  <autoFilter ref="I1:L1297"/>
  <tableColumns count="4">
    <tableColumn id="1" name="Prénom"/>
    <tableColumn id="2" name="Date"/>
    <tableColumn id="3" name="Test"/>
    <tableColumn id="4" name="Perf"/>
  </tableColumns>
</table>
</file>

<file path=xl/tables/table2.xml><?xml version="1.0" encoding="utf-8"?>
<table xmlns="http://schemas.openxmlformats.org/spreadsheetml/2006/main" id="2" name="TableauDatas_2" displayName="TableauDatas_2" ref="I1:L1427" headerRowCount="1" totalsRowCount="0" totalsRowShown="0">
  <autoFilter ref="I1:L1427"/>
  <tableColumns count="4">
    <tableColumn id="1" name="Prénom"/>
    <tableColumn id="2" name="Date"/>
    <tableColumn id="3" name="Test"/>
    <tableColumn id="4" name="Perf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34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10" t="n">
        <v>45541</v>
      </c>
      <c r="F1" s="10"/>
      <c r="G1" s="10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45897</v>
      </c>
      <c r="X1" s="21" t="n">
        <f aca="false">B13</f>
        <v>45897</v>
      </c>
      <c r="Y1" s="21" t="n">
        <f aca="false">B14</f>
        <v>45897</v>
      </c>
      <c r="Z1" s="21" t="n">
        <f aca="false">B15</f>
        <v>45897</v>
      </c>
      <c r="AA1" s="21" t="n">
        <f aca="false">B16</f>
        <v>45897</v>
      </c>
      <c r="AB1" s="21" t="n">
        <f aca="false">B17</f>
        <v>45897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45897</v>
      </c>
      <c r="AN1" s="25" t="n">
        <f aca="false">C58</f>
        <v>46093</v>
      </c>
      <c r="AO1" s="26" t="n">
        <f aca="false">B59</f>
        <v>45897</v>
      </c>
      <c r="AP1" s="26" t="n">
        <f aca="false">C59</f>
        <v>46093</v>
      </c>
      <c r="AQ1" s="26" t="n">
        <f aca="false">B60</f>
        <v>45897</v>
      </c>
      <c r="AR1" s="26" t="n">
        <f aca="false">C60</f>
        <v>46093</v>
      </c>
      <c r="AS1" s="26" t="n">
        <f aca="false">B61</f>
        <v>45897</v>
      </c>
      <c r="AT1" s="26" t="n">
        <f aca="false">C61</f>
        <v>46093</v>
      </c>
      <c r="AU1" s="26" t="n">
        <f aca="false">B62</f>
        <v>45897</v>
      </c>
      <c r="AV1" s="26" t="n">
        <f aca="false">C62</f>
        <v>46093</v>
      </c>
      <c r="AW1" s="26" t="n">
        <f aca="false">B63</f>
        <v>45897</v>
      </c>
      <c r="AX1" s="26" t="n">
        <f aca="false">C63</f>
        <v>46093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I2" s="32" t="s">
        <v>12</v>
      </c>
      <c r="J2" s="33" t="n">
        <v>45897</v>
      </c>
      <c r="K2" s="32" t="s">
        <v>13</v>
      </c>
      <c r="L2" s="34" t="n">
        <v>4.29</v>
      </c>
      <c r="N2" s="35" t="s">
        <v>13</v>
      </c>
      <c r="O2" s="36" t="s">
        <v>12</v>
      </c>
      <c r="P2" s="37"/>
      <c r="Q2" s="37"/>
      <c r="R2" s="37"/>
      <c r="S2" s="38"/>
      <c r="T2" s="39" t="n">
        <v>45897</v>
      </c>
      <c r="U2" s="40"/>
      <c r="V2" s="41"/>
      <c r="W2" s="42" t="str">
        <f aca="false">A12</f>
        <v>20 m</v>
      </c>
      <c r="X2" s="43" t="str">
        <f aca="false">A13</f>
        <v>BJ</v>
      </c>
      <c r="Y2" s="43" t="str">
        <f aca="false">A14</f>
        <v>Cazorla</v>
      </c>
      <c r="Z2" s="43" t="str">
        <f aca="false">A15</f>
        <v>Conduite</v>
      </c>
      <c r="AA2" s="43" t="str">
        <f aca="false">A16</f>
        <v>Jongles SF</v>
      </c>
      <c r="AB2" s="43" t="str">
        <f aca="false">A17</f>
        <v>Jongles WF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str">
        <f aca="false">A58</f>
        <v>20 m</v>
      </c>
      <c r="AN2" s="46"/>
      <c r="AO2" s="47" t="str">
        <f aca="false">A59</f>
        <v>BJ</v>
      </c>
      <c r="AP2" s="47"/>
      <c r="AQ2" s="47" t="str">
        <f aca="false">A60</f>
        <v>Cazorla</v>
      </c>
      <c r="AR2" s="47"/>
      <c r="AS2" s="47" t="str">
        <f aca="false">A61</f>
        <v>Conduite</v>
      </c>
      <c r="AT2" s="47"/>
      <c r="AU2" s="47" t="str">
        <f aca="false">A62</f>
        <v>Jongles SF</v>
      </c>
      <c r="AV2" s="47"/>
      <c r="AW2" s="47" t="str">
        <f aca="false">A63</f>
        <v>Jongles WF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17.35" hidden="false" customHeight="false" outlineLevel="0" collapsed="false">
      <c r="A3" s="51" t="s">
        <v>14</v>
      </c>
      <c r="B3" s="51"/>
      <c r="C3" s="51"/>
      <c r="D3" s="9"/>
      <c r="E3" s="52" t="s">
        <v>15</v>
      </c>
      <c r="F3" s="53" t="str">
        <f aca="false">IF(C4=0,"",C4)</f>
        <v>Nassim</v>
      </c>
      <c r="G3" s="54" t="s">
        <v>16</v>
      </c>
      <c r="H3" s="55"/>
      <c r="I3" s="32" t="s">
        <v>17</v>
      </c>
      <c r="J3" s="33" t="n">
        <v>45897</v>
      </c>
      <c r="K3" s="32" t="s">
        <v>13</v>
      </c>
      <c r="L3" s="34" t="n">
        <v>3.86</v>
      </c>
      <c r="N3" s="56" t="s">
        <v>18</v>
      </c>
      <c r="O3" s="57" t="s">
        <v>17</v>
      </c>
      <c r="P3" s="58"/>
      <c r="Q3" s="58"/>
      <c r="R3" s="58"/>
      <c r="S3" s="59"/>
      <c r="T3" s="39" t="n">
        <v>46093</v>
      </c>
      <c r="U3" s="40"/>
      <c r="V3" s="60" t="str">
        <f aca="false">O2</f>
        <v>Nolan</v>
      </c>
      <c r="W3" s="43" t="n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>4.29</v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n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>7.49</v>
      </c>
      <c r="Z3" s="43" t="n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>12.72</v>
      </c>
      <c r="AA3" s="43" t="n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>10</v>
      </c>
      <c r="AB3" s="43" t="n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>5</v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n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>4.29</v>
      </c>
      <c r="AN3" s="62" t="str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63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3" t="str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63" t="n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>7.49</v>
      </c>
      <c r="AR3" s="63" t="str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63" t="n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>12.72</v>
      </c>
      <c r="AT3" s="63" t="str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63" t="n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>10</v>
      </c>
      <c r="AV3" s="63" t="str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63" t="n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>5</v>
      </c>
      <c r="AX3" s="63" t="str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5" hidden="false" customHeight="false" outlineLevel="0" collapsed="false">
      <c r="A4" s="65"/>
      <c r="B4" s="66" t="s">
        <v>1</v>
      </c>
      <c r="C4" s="67" t="s">
        <v>19</v>
      </c>
      <c r="D4" s="2"/>
      <c r="E4" s="68" t="s">
        <v>13</v>
      </c>
      <c r="F4" s="69" t="n">
        <f aca="false">IFERROR(VLOOKUP(E4,A12:H26,3,FALSE())*100/VLOOKUP(E4,A12:H26,7,FALSE())/100,"")</f>
        <v>0.965591397849462</v>
      </c>
      <c r="G4" s="70" t="n">
        <f aca="false">IFERROR(VLOOKUP(E4,A12:H26,8,FALSE())*100/VLOOKUP(E4,A12:H26,7,FALSE())/100,"")</f>
        <v>0.926612903225806</v>
      </c>
      <c r="H4" s="71"/>
      <c r="I4" s="32" t="s">
        <v>20</v>
      </c>
      <c r="J4" s="33" t="n">
        <v>45897</v>
      </c>
      <c r="K4" s="32" t="s">
        <v>13</v>
      </c>
      <c r="L4" s="34" t="n">
        <v>3.88</v>
      </c>
      <c r="N4" s="35" t="s">
        <v>21</v>
      </c>
      <c r="O4" s="36" t="s">
        <v>20</v>
      </c>
      <c r="P4" s="37"/>
      <c r="Q4" s="37"/>
      <c r="R4" s="37"/>
      <c r="S4" s="38"/>
      <c r="T4" s="39"/>
      <c r="U4" s="40"/>
      <c r="V4" s="72" t="str">
        <f aca="false">O3</f>
        <v>Edwins</v>
      </c>
      <c r="W4" s="43" t="n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>3.86</v>
      </c>
      <c r="X4" s="43" t="str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43" t="n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>7.18</v>
      </c>
      <c r="Z4" s="43" t="n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>11.55</v>
      </c>
      <c r="AA4" s="43" t="n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>56</v>
      </c>
      <c r="AB4" s="43" t="n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>7</v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n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>3.86</v>
      </c>
      <c r="AN4" s="62" t="n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>4.07</v>
      </c>
      <c r="AO4" s="63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3" t="n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>200</v>
      </c>
      <c r="AQ4" s="63" t="n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>7.18</v>
      </c>
      <c r="AR4" s="63" t="n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>6.92</v>
      </c>
      <c r="AS4" s="63" t="n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>11.55</v>
      </c>
      <c r="AT4" s="63" t="n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>12.78</v>
      </c>
      <c r="AU4" s="63" t="n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>56</v>
      </c>
      <c r="AV4" s="63" t="n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>37</v>
      </c>
      <c r="AW4" s="63" t="n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>7</v>
      </c>
      <c r="AX4" s="63" t="n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>10</v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" hidden="false" customHeight="false" outlineLevel="0" collapsed="false">
      <c r="A5" s="65"/>
      <c r="B5" s="73" t="s">
        <v>22</v>
      </c>
      <c r="C5" s="74" t="n">
        <f aca="false">IFERROR(VLOOKUP(C4,O2:S26,2,FALSE()),"")</f>
        <v>0</v>
      </c>
      <c r="D5" s="2"/>
      <c r="E5" s="75" t="s">
        <v>21</v>
      </c>
      <c r="F5" s="76" t="n">
        <f aca="false">IFERROR(VLOOKUP(E5,A12:H26,3,FALSE())*100/VLOOKUP(E5,A12:H26,7,FALSE())/100,"")</f>
        <v>0.957295373665481</v>
      </c>
      <c r="G5" s="77" t="n">
        <f aca="false">IFERROR(VLOOKUP(E5,A12:H26,8,FALSE())*100/VLOOKUP(E5,A12:H26,7,FALSE())/100,"")</f>
        <v>0.922746144721234</v>
      </c>
      <c r="H5" s="71"/>
      <c r="I5" s="32" t="s">
        <v>19</v>
      </c>
      <c r="J5" s="33" t="n">
        <v>45897</v>
      </c>
      <c r="K5" s="32" t="s">
        <v>13</v>
      </c>
      <c r="L5" s="34" t="n">
        <v>4.49</v>
      </c>
      <c r="N5" s="56" t="s">
        <v>23</v>
      </c>
      <c r="O5" s="57" t="s">
        <v>19</v>
      </c>
      <c r="P5" s="58"/>
      <c r="Q5" s="58"/>
      <c r="R5" s="58"/>
      <c r="S5" s="59"/>
      <c r="T5" s="39"/>
      <c r="U5" s="40"/>
      <c r="V5" s="72" t="str">
        <f aca="false">O4</f>
        <v>Tiago</v>
      </c>
      <c r="W5" s="43" t="n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>3.88</v>
      </c>
      <c r="X5" s="43" t="str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43" t="n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>7.8</v>
      </c>
      <c r="Z5" s="43" t="n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>12.86</v>
      </c>
      <c r="AA5" s="43" t="n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>10</v>
      </c>
      <c r="AB5" s="43" t="n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>3</v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n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>3.88</v>
      </c>
      <c r="AN5" s="62" t="n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>3.88</v>
      </c>
      <c r="AO5" s="63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3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3" t="n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>7.8</v>
      </c>
      <c r="AR5" s="63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3" t="n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>12.86</v>
      </c>
      <c r="AT5" s="63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3" t="n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>10</v>
      </c>
      <c r="AV5" s="63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3" t="n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>3</v>
      </c>
      <c r="AX5" s="63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" hidden="false" customHeight="false" outlineLevel="0" collapsed="false">
      <c r="A6" s="65"/>
      <c r="B6" s="73" t="s">
        <v>8</v>
      </c>
      <c r="C6" s="74" t="n">
        <f aca="false">IFERROR(VLOOKUP(C4,O:Q,3,FALSE()),"")</f>
        <v>0</v>
      </c>
      <c r="D6" s="2"/>
      <c r="E6" s="75" t="s">
        <v>23</v>
      </c>
      <c r="F6" s="76" t="n">
        <f aca="false">IFERROR(VLOOKUP(E6,A12:H26,3,FALSE())*100/VLOOKUP(E6,A12:H26,7,FALSE())/100,"")</f>
        <v>0.842441447835344</v>
      </c>
      <c r="G6" s="77" t="n">
        <f aca="false">IFERROR(VLOOKUP(E6,A12:H26,8,FALSE())*100/VLOOKUP(E6,A12:H26,7,FALSE())/100,"")</f>
        <v>0.866616394606104</v>
      </c>
      <c r="H6" s="71"/>
      <c r="I6" s="32" t="s">
        <v>24</v>
      </c>
      <c r="J6" s="33" t="n">
        <v>45897</v>
      </c>
      <c r="K6" s="32" t="s">
        <v>13</v>
      </c>
      <c r="L6" s="34" t="n">
        <v>4.42</v>
      </c>
      <c r="N6" s="35" t="s">
        <v>25</v>
      </c>
      <c r="O6" s="36" t="s">
        <v>24</v>
      </c>
      <c r="P6" s="37" t="s">
        <v>26</v>
      </c>
      <c r="Q6" s="37"/>
      <c r="R6" s="37"/>
      <c r="S6" s="38"/>
      <c r="T6" s="39"/>
      <c r="U6" s="40"/>
      <c r="V6" s="72" t="str">
        <f aca="false">O5</f>
        <v>Nassim</v>
      </c>
      <c r="W6" s="43" t="n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>4.49</v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n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>8.07</v>
      </c>
      <c r="Z6" s="43" t="n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>11.87</v>
      </c>
      <c r="AA6" s="43" t="n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>35</v>
      </c>
      <c r="AB6" s="43" t="n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>6</v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n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>4.49</v>
      </c>
      <c r="AN6" s="62" t="n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>4.33</v>
      </c>
      <c r="AO6" s="63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3" t="n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>150</v>
      </c>
      <c r="AQ6" s="63" t="n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>8.07</v>
      </c>
      <c r="AR6" s="63" t="n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>6.62</v>
      </c>
      <c r="AS6" s="63" t="n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>11.87</v>
      </c>
      <c r="AT6" s="63" t="n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>12.18</v>
      </c>
      <c r="AU6" s="63" t="n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>35</v>
      </c>
      <c r="AV6" s="63" t="n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>43</v>
      </c>
      <c r="AW6" s="63" t="n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>6</v>
      </c>
      <c r="AX6" s="63" t="n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>9</v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" hidden="false" customHeight="false" outlineLevel="0" collapsed="false">
      <c r="A7" s="65"/>
      <c r="B7" s="73" t="s">
        <v>9</v>
      </c>
      <c r="C7" s="74" t="n">
        <f aca="false">IFERROR(VLOOKUP(C4,O:R,4,FALSE()),"")</f>
        <v>0</v>
      </c>
      <c r="D7" s="2"/>
      <c r="E7" s="75" t="s">
        <v>25</v>
      </c>
      <c r="F7" s="76" t="n">
        <f aca="false">IFERROR(VLOOKUP(E7,A12:H26,3,FALSE())*100/VLOOKUP(E7,A12:H26,7,FALSE())/100,"")</f>
        <v>0.625</v>
      </c>
      <c r="G7" s="77" t="n">
        <f aca="false">IFERROR(VLOOKUP(E7,A12:H26,8,FALSE())*100/VLOOKUP(E7,A12:H26,7,FALSE())/100,"")</f>
        <v>0.362723214285714</v>
      </c>
      <c r="H7" s="71"/>
      <c r="I7" s="32" t="s">
        <v>27</v>
      </c>
      <c r="J7" s="33" t="n">
        <v>45897</v>
      </c>
      <c r="K7" s="32" t="s">
        <v>13</v>
      </c>
      <c r="L7" s="34" t="n">
        <v>4.2</v>
      </c>
      <c r="N7" s="56" t="s">
        <v>28</v>
      </c>
      <c r="O7" s="57" t="s">
        <v>27</v>
      </c>
      <c r="P7" s="58"/>
      <c r="Q7" s="58"/>
      <c r="R7" s="58"/>
      <c r="S7" s="59"/>
      <c r="T7" s="78"/>
      <c r="U7" s="40"/>
      <c r="V7" s="72" t="str">
        <f aca="false">O6</f>
        <v>Anas</v>
      </c>
      <c r="W7" s="43" t="n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>4.42</v>
      </c>
      <c r="X7" s="43" t="str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43" t="n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>7.78</v>
      </c>
      <c r="Z7" s="43" t="n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>11.36</v>
      </c>
      <c r="AA7" s="43" t="n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>46</v>
      </c>
      <c r="AB7" s="43" t="n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>7</v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n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>4.42</v>
      </c>
      <c r="AN7" s="62" t="n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>5.41</v>
      </c>
      <c r="AO7" s="63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3" t="n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>162</v>
      </c>
      <c r="AQ7" s="63" t="n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>7.78</v>
      </c>
      <c r="AR7" s="63" t="n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>8.67</v>
      </c>
      <c r="AS7" s="63" t="n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>11.36</v>
      </c>
      <c r="AT7" s="63" t="n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>13.56</v>
      </c>
      <c r="AU7" s="63" t="n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>46</v>
      </c>
      <c r="AV7" s="63" t="n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>65</v>
      </c>
      <c r="AW7" s="63" t="n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>7</v>
      </c>
      <c r="AX7" s="63" t="n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>27</v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5" hidden="false" customHeight="false" outlineLevel="0" collapsed="false">
      <c r="A8" s="65"/>
      <c r="B8" s="79" t="s">
        <v>10</v>
      </c>
      <c r="C8" s="80" t="n">
        <f aca="false">IFERROR(VLOOKUP(C4,O:S,5,FALSE()),"")</f>
        <v>0</v>
      </c>
      <c r="D8" s="2"/>
      <c r="E8" s="81" t="s">
        <v>28</v>
      </c>
      <c r="F8" s="82" t="n">
        <f aca="false">IFERROR(VLOOKUP(E8,A12:H26,3,FALSE())*100/VLOOKUP(E8,A12:H26,7,FALSE())/100,"")</f>
        <v>0.6</v>
      </c>
      <c r="G8" s="83" t="n">
        <f aca="false">IFERROR(VLOOKUP(E8,A12:H26,8,FALSE())*100/VLOOKUP(E8,A12:H26,7,FALSE())/100,"")</f>
        <v>0.475</v>
      </c>
      <c r="H8" s="71"/>
      <c r="I8" s="32" t="s">
        <v>29</v>
      </c>
      <c r="J8" s="33" t="n">
        <v>45897</v>
      </c>
      <c r="K8" s="32" t="s">
        <v>13</v>
      </c>
      <c r="L8" s="34" t="n">
        <v>4.58</v>
      </c>
      <c r="N8" s="35"/>
      <c r="O8" s="36" t="s">
        <v>29</v>
      </c>
      <c r="P8" s="37"/>
      <c r="Q8" s="37"/>
      <c r="R8" s="37"/>
      <c r="S8" s="38"/>
      <c r="T8" s="78"/>
      <c r="U8" s="40"/>
      <c r="V8" s="72" t="str">
        <f aca="false">O7</f>
        <v>Rayane</v>
      </c>
      <c r="W8" s="43" t="n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>4.2</v>
      </c>
      <c r="X8" s="43" t="str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43" t="n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>7.64</v>
      </c>
      <c r="Z8" s="43" t="n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>12.51</v>
      </c>
      <c r="AA8" s="43" t="n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>11</v>
      </c>
      <c r="AB8" s="43" t="n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>3</v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n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>4.2</v>
      </c>
      <c r="AN8" s="62" t="n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>4.64</v>
      </c>
      <c r="AO8" s="63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3" t="n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>165</v>
      </c>
      <c r="AQ8" s="63" t="n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>7.64</v>
      </c>
      <c r="AR8" s="63" t="n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>6.75</v>
      </c>
      <c r="AS8" s="63" t="n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>12.51</v>
      </c>
      <c r="AT8" s="63" t="n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>16.18</v>
      </c>
      <c r="AU8" s="63" t="n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>11</v>
      </c>
      <c r="AV8" s="63" t="n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>24</v>
      </c>
      <c r="AW8" s="63" t="n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>3</v>
      </c>
      <c r="AX8" s="63" t="n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>5</v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I9" s="32" t="s">
        <v>30</v>
      </c>
      <c r="J9" s="33" t="n">
        <v>45897</v>
      </c>
      <c r="K9" s="32" t="s">
        <v>13</v>
      </c>
      <c r="L9" s="34" t="n">
        <v>3.84</v>
      </c>
      <c r="N9" s="56"/>
      <c r="O9" s="57" t="s">
        <v>30</v>
      </c>
      <c r="P9" s="58"/>
      <c r="Q9" s="58"/>
      <c r="R9" s="58"/>
      <c r="S9" s="59"/>
      <c r="T9" s="78"/>
      <c r="U9" s="40"/>
      <c r="V9" s="72" t="str">
        <f aca="false">O8</f>
        <v>Zakaria</v>
      </c>
      <c r="W9" s="43" t="n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>4.58</v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n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>7.69</v>
      </c>
      <c r="Z9" s="43" t="n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>12.02</v>
      </c>
      <c r="AA9" s="43" t="n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>29</v>
      </c>
      <c r="AB9" s="43" t="n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>7</v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n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>4.58</v>
      </c>
      <c r="AN9" s="62" t="str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63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3" t="str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63" t="n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>7.69</v>
      </c>
      <c r="AR9" s="63" t="str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63" t="n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>12.02</v>
      </c>
      <c r="AT9" s="63" t="str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63" t="n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>29</v>
      </c>
      <c r="AV9" s="63" t="str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63" t="n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>7</v>
      </c>
      <c r="AX9" s="63" t="str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17.35" hidden="false" customHeight="false" outlineLevel="0" collapsed="false">
      <c r="A10" s="84" t="s">
        <v>31</v>
      </c>
      <c r="B10" s="84"/>
      <c r="C10" s="84"/>
      <c r="D10" s="84"/>
      <c r="E10" s="84"/>
      <c r="F10" s="84"/>
      <c r="G10" s="84"/>
      <c r="H10" s="85"/>
      <c r="I10" s="32" t="s">
        <v>32</v>
      </c>
      <c r="J10" s="33" t="n">
        <v>45897</v>
      </c>
      <c r="K10" s="32" t="s">
        <v>13</v>
      </c>
      <c r="L10" s="34" t="n">
        <v>4.35</v>
      </c>
      <c r="N10" s="35"/>
      <c r="O10" s="36" t="s">
        <v>32</v>
      </c>
      <c r="P10" s="37"/>
      <c r="Q10" s="37"/>
      <c r="R10" s="37"/>
      <c r="S10" s="38"/>
      <c r="T10" s="78"/>
      <c r="U10" s="40"/>
      <c r="V10" s="72" t="str">
        <f aca="false">O9</f>
        <v>Paul</v>
      </c>
      <c r="W10" s="43" t="n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>3.84</v>
      </c>
      <c r="X10" s="43" t="str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43" t="n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>7.55</v>
      </c>
      <c r="Z10" s="43" t="n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>11.66</v>
      </c>
      <c r="AA10" s="43" t="n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>12</v>
      </c>
      <c r="AB10" s="43" t="n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>10</v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n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>3.84</v>
      </c>
      <c r="AN10" s="62" t="n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>3.64</v>
      </c>
      <c r="AO10" s="63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3" t="n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>178</v>
      </c>
      <c r="AQ10" s="63" t="n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>7.55</v>
      </c>
      <c r="AR10" s="63" t="n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>6.42</v>
      </c>
      <c r="AS10" s="63" t="n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>11.66</v>
      </c>
      <c r="AT10" s="63" t="n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>14.44</v>
      </c>
      <c r="AU10" s="63" t="n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>12</v>
      </c>
      <c r="AV10" s="63" t="n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>34</v>
      </c>
      <c r="AW10" s="63" t="n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>10</v>
      </c>
      <c r="AX10" s="63" t="n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>25</v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17.35" hidden="false" customHeight="false" outlineLevel="0" collapsed="false">
      <c r="A11" s="86"/>
      <c r="B11" s="87" t="s">
        <v>33</v>
      </c>
      <c r="C11" s="88" t="s">
        <v>4</v>
      </c>
      <c r="D11" s="88" t="s">
        <v>34</v>
      </c>
      <c r="E11" s="89" t="s">
        <v>35</v>
      </c>
      <c r="F11" s="90" t="s">
        <v>36</v>
      </c>
      <c r="G11" s="91" t="s">
        <v>37</v>
      </c>
      <c r="H11" s="85"/>
      <c r="I11" s="32" t="s">
        <v>38</v>
      </c>
      <c r="J11" s="33" t="n">
        <v>45897</v>
      </c>
      <c r="K11" s="32" t="s">
        <v>13</v>
      </c>
      <c r="L11" s="34" t="n">
        <v>4.65</v>
      </c>
      <c r="N11" s="56"/>
      <c r="O11" s="57" t="s">
        <v>38</v>
      </c>
      <c r="P11" s="58"/>
      <c r="Q11" s="58"/>
      <c r="R11" s="58"/>
      <c r="S11" s="59"/>
      <c r="T11" s="78"/>
      <c r="U11" s="40"/>
      <c r="V11" s="72" t="str">
        <f aca="false">O10</f>
        <v>Ilies</v>
      </c>
      <c r="W11" s="43" t="n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>4.35</v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n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>7.72</v>
      </c>
      <c r="Z11" s="43" t="n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>13.6</v>
      </c>
      <c r="AA11" s="43" t="n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>8</v>
      </c>
      <c r="AB11" s="43" t="n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>3</v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n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>4.35</v>
      </c>
      <c r="AN11" s="62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3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3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3" t="n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>7.72</v>
      </c>
      <c r="AR11" s="63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3" t="n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>13.6</v>
      </c>
      <c r="AT11" s="63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3" t="n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>8</v>
      </c>
      <c r="AV11" s="63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3" t="n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>3</v>
      </c>
      <c r="AX11" s="63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" hidden="false" customHeight="false" outlineLevel="0" collapsed="false">
      <c r="A12" s="92" t="s">
        <v>13</v>
      </c>
      <c r="B12" s="93" t="n">
        <v>45897</v>
      </c>
      <c r="C12" s="94" t="n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>4.49</v>
      </c>
      <c r="D12" s="95" t="n">
        <f aca="false">IFERROR(W30,"")</f>
        <v>4.2225</v>
      </c>
      <c r="E12" s="96" t="n">
        <f aca="false">IFERROR(W31,"")</f>
        <v>4.32</v>
      </c>
      <c r="F12" s="97" t="n">
        <f aca="false">IFERROR(W32,"")</f>
        <v>4.505</v>
      </c>
      <c r="G12" s="98" t="n">
        <f aca="false">IFERROR(W33,"")</f>
        <v>4.65</v>
      </c>
      <c r="H12" s="99" t="n">
        <f aca="false">IFERROR(W28,"")</f>
        <v>4.30875</v>
      </c>
      <c r="I12" s="32" t="s">
        <v>39</v>
      </c>
      <c r="J12" s="33" t="n">
        <v>45897</v>
      </c>
      <c r="K12" s="32" t="s">
        <v>13</v>
      </c>
      <c r="L12" s="34" t="n">
        <v>4.28</v>
      </c>
      <c r="N12" s="35"/>
      <c r="O12" s="36" t="s">
        <v>39</v>
      </c>
      <c r="P12" s="37"/>
      <c r="Q12" s="37"/>
      <c r="R12" s="37"/>
      <c r="S12" s="38"/>
      <c r="T12" s="100"/>
      <c r="U12" s="40"/>
      <c r="V12" s="72" t="str">
        <f aca="false">O11</f>
        <v>Sofiane</v>
      </c>
      <c r="W12" s="43" t="n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>4.65</v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n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>8.43</v>
      </c>
      <c r="Z12" s="43" t="n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>13.82</v>
      </c>
      <c r="AA12" s="43" t="n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>4</v>
      </c>
      <c r="AB12" s="43" t="n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>2</v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n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>4.65</v>
      </c>
      <c r="AN12" s="62" t="str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63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3" t="str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63" t="n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>8.43</v>
      </c>
      <c r="AR12" s="63" t="str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63" t="n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>13.82</v>
      </c>
      <c r="AT12" s="63" t="str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63" t="n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>4</v>
      </c>
      <c r="AV12" s="63" t="str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63" t="n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>2</v>
      </c>
      <c r="AX12" s="63" t="str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" hidden="false" customHeight="false" outlineLevel="0" collapsed="false">
      <c r="A13" s="92" t="s">
        <v>18</v>
      </c>
      <c r="B13" s="93" t="n">
        <v>45897</v>
      </c>
      <c r="C13" s="101" t="str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102" t="str">
        <f aca="false">IFERROR(X30,"")</f>
        <v/>
      </c>
      <c r="E13" s="103" t="str">
        <f aca="false">IFERROR(X31,"")</f>
        <v/>
      </c>
      <c r="F13" s="104" t="str">
        <f aca="false">IFERROR(X32,"")</f>
        <v/>
      </c>
      <c r="G13" s="105" t="str">
        <f aca="false">IFERROR(X33,"")</f>
        <v/>
      </c>
      <c r="H13" s="99" t="str">
        <f aca="false">IFERROR(X28,"")</f>
        <v/>
      </c>
      <c r="I13" s="32" t="s">
        <v>40</v>
      </c>
      <c r="J13" s="33" t="n">
        <v>45897</v>
      </c>
      <c r="K13" s="32" t="s">
        <v>13</v>
      </c>
      <c r="L13" s="34" t="n">
        <v>4.55</v>
      </c>
      <c r="N13" s="56"/>
      <c r="O13" s="57" t="s">
        <v>40</v>
      </c>
      <c r="P13" s="58"/>
      <c r="Q13" s="58"/>
      <c r="R13" s="58"/>
      <c r="S13" s="59"/>
      <c r="T13" s="78"/>
      <c r="U13" s="40"/>
      <c r="V13" s="72" t="str">
        <f aca="false">O12</f>
        <v>Valentin</v>
      </c>
      <c r="W13" s="43" t="n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>4.28</v>
      </c>
      <c r="X13" s="43" t="str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43" t="n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>7.92</v>
      </c>
      <c r="Z13" s="43" t="n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>12.94</v>
      </c>
      <c r="AA13" s="43" t="n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>12</v>
      </c>
      <c r="AB13" s="43" t="n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>6</v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n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>4.28</v>
      </c>
      <c r="AN13" s="62" t="n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>3.99</v>
      </c>
      <c r="AO13" s="63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3" t="n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>182</v>
      </c>
      <c r="AQ13" s="63" t="n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>7.92</v>
      </c>
      <c r="AR13" s="63" t="n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>6.65</v>
      </c>
      <c r="AS13" s="63" t="n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>12.94</v>
      </c>
      <c r="AT13" s="63" t="n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>14.93</v>
      </c>
      <c r="AU13" s="63" t="n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>12</v>
      </c>
      <c r="AV13" s="63" t="n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>27</v>
      </c>
      <c r="AW13" s="63" t="n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>6</v>
      </c>
      <c r="AX13" s="63" t="n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>14</v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" hidden="false" customHeight="false" outlineLevel="0" collapsed="false">
      <c r="A14" s="92" t="s">
        <v>21</v>
      </c>
      <c r="B14" s="93" t="n">
        <v>45897</v>
      </c>
      <c r="C14" s="101" t="n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>8.07</v>
      </c>
      <c r="D14" s="102" t="n">
        <f aca="false">IFERROR(Y30,"")</f>
        <v>7.6775</v>
      </c>
      <c r="E14" s="103" t="n">
        <f aca="false">IFERROR(Y31,"")</f>
        <v>7.765</v>
      </c>
      <c r="F14" s="106" t="n">
        <f aca="false">IFERROR(Y32,"")</f>
        <v>7.92</v>
      </c>
      <c r="G14" s="105" t="n">
        <f aca="false">IFERROR(Y33,"")</f>
        <v>8.43</v>
      </c>
      <c r="H14" s="99" t="n">
        <f aca="false">IFERROR(Y28,"")</f>
        <v>7.77875</v>
      </c>
      <c r="I14" s="32" t="s">
        <v>41</v>
      </c>
      <c r="J14" s="33" t="n">
        <v>45897</v>
      </c>
      <c r="K14" s="32" t="s">
        <v>13</v>
      </c>
      <c r="L14" s="34" t="n">
        <v>4.27</v>
      </c>
      <c r="N14" s="35"/>
      <c r="O14" s="36" t="s">
        <v>41</v>
      </c>
      <c r="P14" s="37"/>
      <c r="Q14" s="37"/>
      <c r="R14" s="37"/>
      <c r="S14" s="38"/>
      <c r="T14" s="100"/>
      <c r="U14" s="40"/>
      <c r="V14" s="72" t="str">
        <f aca="false">O13</f>
        <v>Naël</v>
      </c>
      <c r="W14" s="43" t="n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>4.55</v>
      </c>
      <c r="X14" s="43" t="str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43" t="n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>7.92</v>
      </c>
      <c r="Z14" s="43" t="n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>14.09</v>
      </c>
      <c r="AA14" s="43" t="n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>35</v>
      </c>
      <c r="AB14" s="43" t="n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>5</v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n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>4.55</v>
      </c>
      <c r="AN14" s="62" t="n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>4.81</v>
      </c>
      <c r="AO14" s="63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3" t="n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>153</v>
      </c>
      <c r="AQ14" s="63" t="n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>7.92</v>
      </c>
      <c r="AR14" s="63" t="n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>7.18</v>
      </c>
      <c r="AS14" s="63" t="n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>14.09</v>
      </c>
      <c r="AT14" s="63" t="n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>14.69</v>
      </c>
      <c r="AU14" s="63" t="n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>35</v>
      </c>
      <c r="AV14" s="63" t="n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>80</v>
      </c>
      <c r="AW14" s="63" t="n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>5</v>
      </c>
      <c r="AX14" s="63" t="n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>11</v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s="2" customFormat="true" ht="15" hidden="false" customHeight="false" outlineLevel="0" collapsed="false">
      <c r="A15" s="92" t="s">
        <v>23</v>
      </c>
      <c r="B15" s="93" t="n">
        <v>45897</v>
      </c>
      <c r="C15" s="101" t="n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>11.87</v>
      </c>
      <c r="D15" s="102" t="n">
        <f aca="false">IFERROR(Z30,"")</f>
        <v>11.36</v>
      </c>
      <c r="E15" s="103" t="n">
        <f aca="false">IFERROR(Z31,"")</f>
        <v>11.945</v>
      </c>
      <c r="F15" s="106" t="n">
        <f aca="false">IFERROR(Z32,"")</f>
        <v>12.88</v>
      </c>
      <c r="G15" s="105" t="n">
        <f aca="false">IFERROR(Z33,"")</f>
        <v>14.09</v>
      </c>
      <c r="H15" s="99" t="n">
        <f aca="false">IFERROR(Z28,"")</f>
        <v>12.210625</v>
      </c>
      <c r="I15" s="32" t="s">
        <v>42</v>
      </c>
      <c r="J15" s="33" t="n">
        <v>45897</v>
      </c>
      <c r="K15" s="32" t="s">
        <v>13</v>
      </c>
      <c r="L15" s="34" t="n">
        <v>4.57</v>
      </c>
      <c r="M15" s="5"/>
      <c r="N15" s="56"/>
      <c r="O15" s="57" t="s">
        <v>42</v>
      </c>
      <c r="P15" s="58"/>
      <c r="Q15" s="58"/>
      <c r="R15" s="58"/>
      <c r="S15" s="59"/>
      <c r="T15" s="78"/>
      <c r="U15" s="40"/>
      <c r="V15" s="72" t="str">
        <f aca="false">O14</f>
        <v>Kais</v>
      </c>
      <c r="W15" s="43" t="n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>4.27</v>
      </c>
      <c r="X15" s="43" t="str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43" t="n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>7.84</v>
      </c>
      <c r="Z15" s="43" t="n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>10.76</v>
      </c>
      <c r="AA15" s="43" t="n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>29</v>
      </c>
      <c r="AB15" s="43" t="n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>2</v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n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>4.27</v>
      </c>
      <c r="AN15" s="62" t="n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>4.16</v>
      </c>
      <c r="AO15" s="63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3" t="n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>160</v>
      </c>
      <c r="AQ15" s="63" t="n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>7.84</v>
      </c>
      <c r="AR15" s="63" t="n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>6.32</v>
      </c>
      <c r="AS15" s="63" t="n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>10.76</v>
      </c>
      <c r="AT15" s="63" t="n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>11.83</v>
      </c>
      <c r="AU15" s="63" t="n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>29</v>
      </c>
      <c r="AV15" s="63" t="n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>26</v>
      </c>
      <c r="AW15" s="63" t="n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>2</v>
      </c>
      <c r="AX15" s="63" t="n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>7</v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s="2" customFormat="true" ht="15.75" hidden="false" customHeight="true" outlineLevel="0" collapsed="false">
      <c r="A16" s="92" t="s">
        <v>25</v>
      </c>
      <c r="B16" s="93" t="n">
        <v>45897</v>
      </c>
      <c r="C16" s="101" t="n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>35</v>
      </c>
      <c r="D16" s="102" t="n">
        <f aca="false">IFERROR(AA30,"")</f>
        <v>9.75</v>
      </c>
      <c r="E16" s="103" t="n">
        <f aca="false">IFERROR(AA31,"")</f>
        <v>12</v>
      </c>
      <c r="F16" s="106" t="n">
        <f aca="false">IFERROR(AA32,"")</f>
        <v>30.5</v>
      </c>
      <c r="G16" s="105" t="n">
        <f aca="false">IFERROR(AA33,"")</f>
        <v>56</v>
      </c>
      <c r="H16" s="99" t="n">
        <f aca="false">IFERROR(AA28,"")</f>
        <v>20.3125</v>
      </c>
      <c r="I16" s="32" t="s">
        <v>43</v>
      </c>
      <c r="J16" s="33" t="n">
        <v>45897</v>
      </c>
      <c r="K16" s="32" t="s">
        <v>13</v>
      </c>
      <c r="L16" s="34" t="n">
        <v>4.48</v>
      </c>
      <c r="M16" s="5"/>
      <c r="N16" s="107"/>
      <c r="O16" s="36" t="s">
        <v>43</v>
      </c>
      <c r="P16" s="37"/>
      <c r="Q16" s="37"/>
      <c r="R16" s="37"/>
      <c r="S16" s="38"/>
      <c r="T16" s="39"/>
      <c r="U16" s="40"/>
      <c r="V16" s="72" t="str">
        <f aca="false">O15</f>
        <v>Farouk</v>
      </c>
      <c r="W16" s="43" t="n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>4.57</v>
      </c>
      <c r="X16" s="43" t="str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43" t="n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>7.7</v>
      </c>
      <c r="Z16" s="43" t="n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>11.36</v>
      </c>
      <c r="AA16" s="43" t="n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>12</v>
      </c>
      <c r="AB16" s="43" t="n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>5</v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n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>4.57</v>
      </c>
      <c r="AN16" s="62" t="n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>4.39</v>
      </c>
      <c r="AO16" s="63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3" t="n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>180</v>
      </c>
      <c r="AQ16" s="63" t="n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>7.7</v>
      </c>
      <c r="AR16" s="63" t="n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>6.55</v>
      </c>
      <c r="AS16" s="63" t="n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>11.36</v>
      </c>
      <c r="AT16" s="63" t="n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>12.79</v>
      </c>
      <c r="AU16" s="63" t="n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>12</v>
      </c>
      <c r="AV16" s="63" t="n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>40</v>
      </c>
      <c r="AW16" s="63" t="n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>5</v>
      </c>
      <c r="AX16" s="63" t="n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>11</v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s="2" customFormat="true" ht="15.75" hidden="false" customHeight="true" outlineLevel="0" collapsed="false">
      <c r="A17" s="92" t="s">
        <v>28</v>
      </c>
      <c r="B17" s="93" t="n">
        <v>45897</v>
      </c>
      <c r="C17" s="101" t="n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>6</v>
      </c>
      <c r="D17" s="102" t="n">
        <f aca="false">IFERROR(AB30,"")</f>
        <v>3</v>
      </c>
      <c r="E17" s="103" t="n">
        <f aca="false">IFERROR(AB31,"")</f>
        <v>5</v>
      </c>
      <c r="F17" s="106" t="n">
        <f aca="false">IFERROR(AB32,"")</f>
        <v>6.25</v>
      </c>
      <c r="G17" s="105" t="n">
        <f aca="false">IFERROR(AB33,"")</f>
        <v>10</v>
      </c>
      <c r="H17" s="99" t="n">
        <f aca="false">IFERROR(AB28,"")</f>
        <v>4.75</v>
      </c>
      <c r="I17" s="32" t="s">
        <v>44</v>
      </c>
      <c r="J17" s="33" t="n">
        <v>45897</v>
      </c>
      <c r="K17" s="32" t="s">
        <v>13</v>
      </c>
      <c r="L17" s="34" t="n">
        <v>4.23</v>
      </c>
      <c r="M17" s="5"/>
      <c r="N17" s="5"/>
      <c r="O17" s="57" t="s">
        <v>44</v>
      </c>
      <c r="P17" s="58"/>
      <c r="Q17" s="58"/>
      <c r="R17" s="58"/>
      <c r="S17" s="59"/>
      <c r="T17" s="108"/>
      <c r="U17" s="7"/>
      <c r="V17" s="72" t="str">
        <f aca="false">O16</f>
        <v>Bilel</v>
      </c>
      <c r="W17" s="43" t="n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>4.48</v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n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>7.98</v>
      </c>
      <c r="Z17" s="43" t="n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>11.14</v>
      </c>
      <c r="AA17" s="43" t="n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>9</v>
      </c>
      <c r="AB17" s="43" t="n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>3</v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n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>4.48</v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n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>7.98</v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n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>11.14</v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n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>9</v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n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>3</v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s="2" customFormat="true" ht="15" hidden="false" customHeight="false" outlineLevel="0" collapsed="false">
      <c r="A18" s="92"/>
      <c r="B18" s="93"/>
      <c r="C18" s="101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2" t="str">
        <f aca="false">IFERROR(AC30,"")</f>
        <v/>
      </c>
      <c r="E18" s="103" t="str">
        <f aca="false">IFERROR(AC31,"")</f>
        <v/>
      </c>
      <c r="F18" s="106" t="str">
        <f aca="false">IFERROR(AC32,"")</f>
        <v/>
      </c>
      <c r="G18" s="105" t="str">
        <f aca="false">IFERROR(AC33,"")</f>
        <v/>
      </c>
      <c r="H18" s="99" t="str">
        <f aca="false">IFERROR(AC28,"")</f>
        <v/>
      </c>
      <c r="I18" s="32" t="s">
        <v>45</v>
      </c>
      <c r="J18" s="33" t="n">
        <v>45897</v>
      </c>
      <c r="K18" s="32" t="s">
        <v>13</v>
      </c>
      <c r="L18" s="34"/>
      <c r="M18" s="5"/>
      <c r="N18" s="5"/>
      <c r="O18" s="36" t="s">
        <v>45</v>
      </c>
      <c r="P18" s="37"/>
      <c r="Q18" s="37"/>
      <c r="R18" s="37"/>
      <c r="S18" s="38"/>
      <c r="T18" s="109"/>
      <c r="U18" s="7"/>
      <c r="V18" s="72" t="str">
        <f aca="false">O17</f>
        <v>Abdoulaye</v>
      </c>
      <c r="W18" s="43" t="n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>4.23</v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n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>7.75</v>
      </c>
      <c r="Z18" s="43" t="n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>11.11</v>
      </c>
      <c r="AA18" s="43" t="n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>7</v>
      </c>
      <c r="AB18" s="43" t="n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>2</v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n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>4.23</v>
      </c>
      <c r="AN18" s="62" t="n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>4.17</v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n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>140</v>
      </c>
      <c r="AQ18" s="63" t="n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>7.75</v>
      </c>
      <c r="AR18" s="63" t="n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>6.42</v>
      </c>
      <c r="AS18" s="63" t="n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>11.11</v>
      </c>
      <c r="AT18" s="63" t="n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>13.63</v>
      </c>
      <c r="AU18" s="63" t="n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>7</v>
      </c>
      <c r="AV18" s="63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3" t="n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>2</v>
      </c>
      <c r="AX18" s="63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s="2" customFormat="true" ht="15" hidden="false" customHeight="false" outlineLevel="0" collapsed="false">
      <c r="A19" s="92"/>
      <c r="B19" s="93"/>
      <c r="C19" s="101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2" t="str">
        <f aca="false">IFERROR(AD30,"")</f>
        <v/>
      </c>
      <c r="E19" s="103" t="str">
        <f aca="false">IFERROR(AD31,"")</f>
        <v/>
      </c>
      <c r="F19" s="106" t="str">
        <f aca="false">IFERROR(AD32,"")</f>
        <v/>
      </c>
      <c r="G19" s="105" t="str">
        <f aca="false">IFERROR(AD33,"")</f>
        <v/>
      </c>
      <c r="H19" s="99" t="str">
        <f aca="false">IFERROR(AD28,"")</f>
        <v/>
      </c>
      <c r="I19" s="32" t="s">
        <v>46</v>
      </c>
      <c r="J19" s="33" t="n">
        <v>45897</v>
      </c>
      <c r="K19" s="32" t="s">
        <v>13</v>
      </c>
      <c r="L19" s="34"/>
      <c r="M19" s="5"/>
      <c r="N19" s="5"/>
      <c r="O19" s="57" t="s">
        <v>46</v>
      </c>
      <c r="P19" s="58"/>
      <c r="Q19" s="58"/>
      <c r="R19" s="58"/>
      <c r="S19" s="59"/>
      <c r="T19" s="108"/>
      <c r="U19" s="7"/>
      <c r="V19" s="72" t="str">
        <f aca="false">O18</f>
        <v>Lucas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n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>4.78</v>
      </c>
      <c r="AO19" s="63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3" t="n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>159</v>
      </c>
      <c r="AQ19" s="63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3" t="n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>6.97</v>
      </c>
      <c r="AS19" s="63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3" t="n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>13.4</v>
      </c>
      <c r="AU19" s="63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3" t="n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>37</v>
      </c>
      <c r="AW19" s="63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3" t="n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>5</v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s="2" customFormat="true" ht="15" hidden="false" customHeight="false" outlineLevel="0" collapsed="false">
      <c r="A20" s="92"/>
      <c r="B20" s="93"/>
      <c r="C20" s="101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2" t="str">
        <f aca="false">IFERROR(AE30,"")</f>
        <v/>
      </c>
      <c r="E20" s="103" t="str">
        <f aca="false">IFERROR(AE31,"")</f>
        <v/>
      </c>
      <c r="F20" s="106" t="str">
        <f aca="false">IFERROR(AE32,"")</f>
        <v/>
      </c>
      <c r="G20" s="105" t="str">
        <f aca="false">IFERROR(AE33,"")</f>
        <v/>
      </c>
      <c r="H20" s="99" t="str">
        <f aca="false">IFERROR(AE28,"")</f>
        <v/>
      </c>
      <c r="I20" s="110" t="s">
        <v>12</v>
      </c>
      <c r="J20" s="111" t="n">
        <v>45897</v>
      </c>
      <c r="K20" s="110" t="s">
        <v>21</v>
      </c>
      <c r="L20" s="112" t="n">
        <v>7.49</v>
      </c>
      <c r="M20" s="5"/>
      <c r="N20" s="5"/>
      <c r="O20" s="36" t="s">
        <v>47</v>
      </c>
      <c r="P20" s="37"/>
      <c r="Q20" s="37"/>
      <c r="R20" s="37"/>
      <c r="S20" s="38"/>
      <c r="T20" s="109"/>
      <c r="U20" s="7"/>
      <c r="V20" s="72" t="str">
        <f aca="false">O19</f>
        <v>Axel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n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>4.43</v>
      </c>
      <c r="AO20" s="63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3" t="n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>166</v>
      </c>
      <c r="AQ20" s="63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3" t="n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>6.86</v>
      </c>
      <c r="AS20" s="63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3" t="n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>17.99</v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n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>32</v>
      </c>
      <c r="AW20" s="63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3" t="n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>6</v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s="2" customFormat="true" ht="15" hidden="false" customHeight="false" outlineLevel="0" collapsed="false">
      <c r="A21" s="92"/>
      <c r="B21" s="93"/>
      <c r="C21" s="101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2" t="str">
        <f aca="false">IFERROR(AF30,"")</f>
        <v/>
      </c>
      <c r="E21" s="103" t="str">
        <f aca="false">IFERROR(AF31,"")</f>
        <v/>
      </c>
      <c r="F21" s="106" t="str">
        <f aca="false">IFERROR(AF32,"")</f>
        <v/>
      </c>
      <c r="G21" s="105" t="str">
        <f aca="false">IFERROR(AF33,"")</f>
        <v/>
      </c>
      <c r="H21" s="99" t="str">
        <f aca="false">IFERROR(AF28,"")</f>
        <v/>
      </c>
      <c r="I21" s="110" t="s">
        <v>17</v>
      </c>
      <c r="J21" s="111" t="n">
        <v>45897</v>
      </c>
      <c r="K21" s="110" t="s">
        <v>21</v>
      </c>
      <c r="L21" s="112" t="n">
        <v>7.18</v>
      </c>
      <c r="M21" s="5"/>
      <c r="N21" s="5"/>
      <c r="O21" s="57" t="s">
        <v>48</v>
      </c>
      <c r="P21" s="58"/>
      <c r="Q21" s="58"/>
      <c r="R21" s="58"/>
      <c r="S21" s="59"/>
      <c r="T21" s="78"/>
      <c r="U21" s="7"/>
      <c r="V21" s="72" t="str">
        <f aca="false">O20</f>
        <v>Lotfi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str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2" t="n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>3.99</v>
      </c>
      <c r="AO21" s="63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3" t="n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>190</v>
      </c>
      <c r="AQ21" s="63" t="str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63" t="n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>6.71</v>
      </c>
      <c r="AS21" s="63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3" t="n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>14.97</v>
      </c>
      <c r="AU21" s="63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3" t="n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>13</v>
      </c>
      <c r="AW21" s="63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3" t="n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>5</v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s="2" customFormat="true" ht="15" hidden="false" customHeight="false" outlineLevel="0" collapsed="false">
      <c r="A22" s="92"/>
      <c r="B22" s="93"/>
      <c r="C22" s="101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2" t="str">
        <f aca="false">IFERROR(AG30,"")</f>
        <v/>
      </c>
      <c r="E22" s="103" t="str">
        <f aca="false">IFERROR(AG31,"")</f>
        <v/>
      </c>
      <c r="F22" s="106" t="str">
        <f aca="false">IFERROR(AG32,"")</f>
        <v/>
      </c>
      <c r="G22" s="105" t="str">
        <f aca="false">IFERROR(AG33,"")</f>
        <v/>
      </c>
      <c r="H22" s="113" t="str">
        <f aca="false">IFERROR(AG28,"")</f>
        <v/>
      </c>
      <c r="I22" s="110" t="s">
        <v>20</v>
      </c>
      <c r="J22" s="111" t="n">
        <v>45897</v>
      </c>
      <c r="K22" s="110" t="s">
        <v>21</v>
      </c>
      <c r="L22" s="112" t="n">
        <v>7.8</v>
      </c>
      <c r="M22" s="5"/>
      <c r="N22" s="5"/>
      <c r="O22" s="36" t="s">
        <v>49</v>
      </c>
      <c r="P22" s="37"/>
      <c r="Q22" s="37"/>
      <c r="R22" s="37"/>
      <c r="S22" s="38"/>
      <c r="T22" s="100"/>
      <c r="U22" s="7"/>
      <c r="V22" s="72" t="str">
        <f aca="false">O21</f>
        <v>Ali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n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>4.12</v>
      </c>
      <c r="AO22" s="63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3" t="n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>170</v>
      </c>
      <c r="AQ22" s="63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3" t="n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>6.61</v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n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>16.09</v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n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>4</v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n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>2</v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s="2" customFormat="true" ht="15" hidden="false" customHeight="false" outlineLevel="0" collapsed="false">
      <c r="A23" s="92"/>
      <c r="B23" s="93"/>
      <c r="C23" s="101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2" t="str">
        <f aca="false">IFERROR(AH30,"")</f>
        <v/>
      </c>
      <c r="E23" s="103" t="str">
        <f aca="false">IFERROR(AH31,"")</f>
        <v/>
      </c>
      <c r="F23" s="106" t="str">
        <f aca="false">IFERROR(AH32,"")</f>
        <v/>
      </c>
      <c r="G23" s="105" t="str">
        <f aca="false">IFERROR(AH33,"")</f>
        <v/>
      </c>
      <c r="H23" s="113" t="str">
        <f aca="false">IFERROR(AH28,"")</f>
        <v/>
      </c>
      <c r="I23" s="110" t="s">
        <v>19</v>
      </c>
      <c r="J23" s="111" t="n">
        <v>45897</v>
      </c>
      <c r="K23" s="110" t="s">
        <v>21</v>
      </c>
      <c r="L23" s="112" t="n">
        <v>8.07</v>
      </c>
      <c r="M23" s="5"/>
      <c r="N23" s="5"/>
      <c r="O23" s="57" t="s">
        <v>50</v>
      </c>
      <c r="P23" s="58"/>
      <c r="Q23" s="58"/>
      <c r="R23" s="58"/>
      <c r="S23" s="59"/>
      <c r="T23" s="78"/>
      <c r="U23" s="7"/>
      <c r="V23" s="72" t="str">
        <f aca="false">O22</f>
        <v>Salmane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str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str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2" t="n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>4.51</v>
      </c>
      <c r="AO23" s="63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3" t="n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>165</v>
      </c>
      <c r="AQ23" s="63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3" t="n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>6.96</v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n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>14.68</v>
      </c>
      <c r="AU23" s="63" t="str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63" t="n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>11</v>
      </c>
      <c r="AW23" s="63" t="str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63" t="n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>3</v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s="2" customFormat="true" ht="15" hidden="false" customHeight="false" outlineLevel="0" collapsed="false">
      <c r="A24" s="92"/>
      <c r="B24" s="93"/>
      <c r="C24" s="101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2" t="str">
        <f aca="false">IFERROR(AI30,"")</f>
        <v/>
      </c>
      <c r="E24" s="103" t="str">
        <f aca="false">IFERROR(AI31,"")</f>
        <v/>
      </c>
      <c r="F24" s="106" t="str">
        <f aca="false">IFERROR(AI32,"")</f>
        <v/>
      </c>
      <c r="G24" s="105" t="str">
        <f aca="false">IFERROR(AI33,"")</f>
        <v/>
      </c>
      <c r="H24" s="113" t="str">
        <f aca="false">IFERROR(AI28,"")</f>
        <v/>
      </c>
      <c r="I24" s="110" t="s">
        <v>24</v>
      </c>
      <c r="J24" s="111" t="n">
        <v>45897</v>
      </c>
      <c r="K24" s="110" t="s">
        <v>21</v>
      </c>
      <c r="L24" s="112" t="n">
        <v>7.78</v>
      </c>
      <c r="M24" s="5"/>
      <c r="N24" s="5"/>
      <c r="O24" s="36" t="s">
        <v>51</v>
      </c>
      <c r="P24" s="37"/>
      <c r="Q24" s="37"/>
      <c r="R24" s="37"/>
      <c r="S24" s="38"/>
      <c r="T24" s="100"/>
      <c r="U24" s="7"/>
      <c r="V24" s="72" t="str">
        <f aca="false">O23</f>
        <v>Sohan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2" t="n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>4.01</v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n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>180</v>
      </c>
      <c r="AQ24" s="63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3" t="n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>6.73</v>
      </c>
      <c r="AS24" s="63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3" t="n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>13.56</v>
      </c>
      <c r="AU24" s="63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3" t="n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>18</v>
      </c>
      <c r="AW24" s="63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3" t="n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>11</v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s="2" customFormat="true" ht="15" hidden="false" customHeight="false" outlineLevel="0" collapsed="false">
      <c r="A25" s="92"/>
      <c r="B25" s="93"/>
      <c r="C25" s="101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2" t="str">
        <f aca="false">IFERROR(AJ30,"")</f>
        <v/>
      </c>
      <c r="E25" s="103" t="str">
        <f aca="false">IFERROR(AJ31,"")</f>
        <v/>
      </c>
      <c r="F25" s="106" t="str">
        <f aca="false">IFERROR(AJ32,"")</f>
        <v/>
      </c>
      <c r="G25" s="105" t="str">
        <f aca="false">IFERROR(AJ33,"")</f>
        <v/>
      </c>
      <c r="H25" s="113" t="str">
        <f aca="false">IFERROR(AJ28,"")</f>
        <v/>
      </c>
      <c r="I25" s="110" t="s">
        <v>27</v>
      </c>
      <c r="J25" s="111" t="n">
        <v>45897</v>
      </c>
      <c r="K25" s="110" t="s">
        <v>21</v>
      </c>
      <c r="L25" s="112" t="n">
        <v>7.64</v>
      </c>
      <c r="M25" s="5"/>
      <c r="N25" s="5"/>
      <c r="O25" s="57"/>
      <c r="P25" s="58"/>
      <c r="Q25" s="58"/>
      <c r="R25" s="58"/>
      <c r="S25" s="59"/>
      <c r="T25" s="78"/>
      <c r="U25" s="7"/>
      <c r="V25" s="72" t="str">
        <f aca="false">O24</f>
        <v>Livens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2" t="n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>4.37</v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n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>153</v>
      </c>
      <c r="AQ25" s="63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3" t="n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>6.84</v>
      </c>
      <c r="AS25" s="63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3" t="n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>14.23</v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n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>4</v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n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>1</v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s="2" customFormat="true" ht="15.75" hidden="false" customHeight="true" outlineLevel="0" collapsed="false">
      <c r="A26" s="114"/>
      <c r="B26" s="115"/>
      <c r="C26" s="116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7" t="str">
        <f aca="false">IFERROR(AK30,"")</f>
        <v/>
      </c>
      <c r="E26" s="118" t="str">
        <f aca="false">IFERROR(AK31,"")</f>
        <v/>
      </c>
      <c r="F26" s="119" t="str">
        <f aca="false">IFERROR(AK32,"")</f>
        <v/>
      </c>
      <c r="G26" s="120" t="str">
        <f aca="false">IFERROR(AK33,"")</f>
        <v/>
      </c>
      <c r="H26" s="113" t="str">
        <f aca="false">IFERROR(AK28,"")</f>
        <v/>
      </c>
      <c r="I26" s="110" t="s">
        <v>29</v>
      </c>
      <c r="J26" s="111" t="n">
        <v>45897</v>
      </c>
      <c r="K26" s="110" t="s">
        <v>21</v>
      </c>
      <c r="L26" s="112" t="n">
        <v>7.69</v>
      </c>
      <c r="M26" s="5"/>
      <c r="N26" s="5"/>
      <c r="O26" s="121" t="s">
        <v>52</v>
      </c>
      <c r="P26" s="121" t="s">
        <v>53</v>
      </c>
      <c r="Q26" s="121" t="s">
        <v>54</v>
      </c>
      <c r="R26" s="122"/>
      <c r="S26" s="123"/>
      <c r="T26" s="100"/>
      <c r="U26" s="7"/>
      <c r="V26" s="72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s="2" customFormat="true" ht="15" hidden="false" customHeight="false" outlineLevel="0" collapsed="false">
      <c r="H27" s="124"/>
      <c r="I27" s="110" t="s">
        <v>30</v>
      </c>
      <c r="J27" s="111" t="n">
        <v>45897</v>
      </c>
      <c r="K27" s="110" t="s">
        <v>21</v>
      </c>
      <c r="L27" s="112" t="n">
        <v>7.55</v>
      </c>
      <c r="M27" s="5"/>
      <c r="N27" s="125" t="s">
        <v>55</v>
      </c>
      <c r="O27" s="126" t="n">
        <f aca="false">IF(COUNTA(O2:O26)=0,"",COUNTA(O2:O26))</f>
        <v>24</v>
      </c>
      <c r="P27" s="127" t="s">
        <v>56</v>
      </c>
      <c r="Q27" s="127"/>
      <c r="R27" s="128" t="str">
        <f aca="false">IFERROR(AVERAGE(R2:R26),"")</f>
        <v/>
      </c>
      <c r="S27" s="129" t="str">
        <f aca="false">IFERROR(AVERAGE(S2:S26),"")</f>
        <v/>
      </c>
      <c r="T27" s="78"/>
      <c r="U27" s="7"/>
      <c r="V27" s="72" t="str">
        <f aca="false">O26</f>
        <v>Quentin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0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0"/>
      <c r="BR27" s="130"/>
      <c r="BS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G27" s="131"/>
      <c r="EH27" s="131"/>
      <c r="EI27" s="131"/>
      <c r="EJ27" s="131"/>
      <c r="EK27" s="131"/>
      <c r="EL27" s="131"/>
      <c r="EM27" s="131"/>
      <c r="EN27" s="131"/>
      <c r="EO27" s="131"/>
      <c r="EP27" s="131"/>
      <c r="EQ27" s="131"/>
      <c r="ER27" s="131"/>
      <c r="ES27" s="131"/>
      <c r="ET27" s="131"/>
      <c r="EU27" s="131"/>
      <c r="EW27" s="131"/>
      <c r="EX27" s="131"/>
      <c r="EY27" s="131"/>
      <c r="EZ27" s="131"/>
      <c r="FA27" s="131"/>
      <c r="FB27" s="131"/>
      <c r="FC27" s="131"/>
      <c r="FD27" s="131"/>
      <c r="FE27" s="131"/>
      <c r="FF27" s="131"/>
      <c r="FG27" s="131"/>
      <c r="FH27" s="131"/>
      <c r="FI27" s="131"/>
      <c r="FJ27" s="131"/>
      <c r="FK27" s="131"/>
      <c r="FM27" s="131"/>
      <c r="FN27" s="131"/>
      <c r="FO27" s="131"/>
      <c r="FP27" s="131"/>
      <c r="FQ27" s="131"/>
      <c r="FR27" s="131"/>
      <c r="FS27" s="131"/>
      <c r="FT27" s="131"/>
      <c r="FU27" s="131"/>
      <c r="FV27" s="131"/>
      <c r="FW27" s="131"/>
      <c r="FX27" s="131"/>
      <c r="FY27" s="131"/>
      <c r="FZ27" s="131"/>
      <c r="GA27" s="131"/>
      <c r="GC27" s="131"/>
      <c r="GD27" s="131"/>
      <c r="GE27" s="131"/>
      <c r="GF27" s="131"/>
      <c r="GG27" s="131"/>
      <c r="GH27" s="131"/>
      <c r="GI27" s="131"/>
      <c r="GJ27" s="131"/>
      <c r="GK27" s="131"/>
      <c r="GL27" s="131"/>
      <c r="GM27" s="131"/>
      <c r="GN27" s="131"/>
      <c r="GO27" s="131"/>
      <c r="GP27" s="131"/>
      <c r="GQ27" s="131"/>
      <c r="GS27" s="131"/>
      <c r="GT27" s="131"/>
      <c r="GU27" s="131"/>
      <c r="GV27" s="131"/>
      <c r="GW27" s="131"/>
      <c r="GX27" s="131"/>
      <c r="GY27" s="131"/>
      <c r="GZ27" s="131"/>
      <c r="HA27" s="131"/>
      <c r="HB27" s="131"/>
      <c r="HC27" s="131"/>
      <c r="HD27" s="131"/>
      <c r="HE27" s="131"/>
      <c r="HF27" s="131"/>
      <c r="HG27" s="131"/>
      <c r="HI27" s="131"/>
      <c r="HJ27" s="131"/>
      <c r="HK27" s="131"/>
      <c r="HL27" s="131"/>
      <c r="HM27" s="131"/>
      <c r="HN27" s="131"/>
      <c r="HO27" s="131"/>
      <c r="HP27" s="131"/>
      <c r="HQ27" s="131"/>
      <c r="HR27" s="131"/>
      <c r="HS27" s="131"/>
      <c r="HT27" s="131"/>
      <c r="HU27" s="131"/>
      <c r="HV27" s="131"/>
      <c r="HW27" s="131"/>
      <c r="HY27" s="131"/>
      <c r="HZ27" s="131"/>
      <c r="IA27" s="131"/>
      <c r="IB27" s="131"/>
      <c r="IC27" s="131"/>
      <c r="ID27" s="131"/>
      <c r="IE27" s="131"/>
      <c r="IF27" s="131"/>
      <c r="IG27" s="131"/>
      <c r="IH27" s="131"/>
      <c r="II27" s="131"/>
      <c r="IJ27" s="131"/>
      <c r="IK27" s="131"/>
      <c r="IL27" s="131"/>
      <c r="IM27" s="131"/>
      <c r="IO27" s="131"/>
      <c r="IP27" s="131"/>
      <c r="IQ27" s="131"/>
      <c r="IR27" s="131"/>
      <c r="IS27" s="131"/>
      <c r="IT27" s="131"/>
      <c r="IU27" s="132"/>
      <c r="IV27" s="132"/>
      <c r="IW27" s="132"/>
      <c r="IX27" s="132"/>
      <c r="IY27" s="132"/>
      <c r="IZ27" s="132"/>
      <c r="JA27" s="132"/>
      <c r="JB27" s="132"/>
      <c r="JC27" s="132"/>
    </row>
    <row r="28" s="2" customFormat="true" ht="17.35" hidden="false" customHeight="false" outlineLevel="0" collapsed="false">
      <c r="A28" s="84" t="s">
        <v>57</v>
      </c>
      <c r="B28" s="84"/>
      <c r="C28" s="84"/>
      <c r="D28" s="84"/>
      <c r="E28" s="84"/>
      <c r="F28" s="84"/>
      <c r="G28" s="84"/>
      <c r="H28" s="85"/>
      <c r="I28" s="110" t="s">
        <v>32</v>
      </c>
      <c r="J28" s="111" t="n">
        <v>45897</v>
      </c>
      <c r="K28" s="110" t="s">
        <v>21</v>
      </c>
      <c r="L28" s="112" t="n">
        <v>7.72</v>
      </c>
      <c r="M28" s="5"/>
      <c r="N28" s="133"/>
      <c r="O28" s="133"/>
      <c r="P28" s="134" t="s">
        <v>58</v>
      </c>
      <c r="Q28" s="134"/>
      <c r="R28" s="135" t="str">
        <f aca="false">IFERROR(STDEV(R2:R26),"")</f>
        <v/>
      </c>
      <c r="S28" s="136" t="str">
        <f aca="false">IFERROR(STDEV(S2:S26),"")</f>
        <v/>
      </c>
      <c r="T28" s="100"/>
      <c r="U28" s="7"/>
      <c r="V28" s="137" t="s">
        <v>59</v>
      </c>
      <c r="W28" s="138" t="n">
        <f aca="false">IFERROR(AVERAGE(W3:W27),"")</f>
        <v>4.30875</v>
      </c>
      <c r="X28" s="138" t="str">
        <f aca="false">IFERROR(AVERAGE(X3:X27),"")</f>
        <v/>
      </c>
      <c r="Y28" s="138" t="n">
        <f aca="false">IFERROR(AVERAGE(Y3:Y27),"")</f>
        <v>7.77875</v>
      </c>
      <c r="Z28" s="138" t="n">
        <f aca="false">IFERROR(AVERAGE(Z3:Z27),"")</f>
        <v>12.210625</v>
      </c>
      <c r="AA28" s="138" t="n">
        <f aca="false">IFERROR(AVERAGE(AA3:AA27),"")</f>
        <v>20.3125</v>
      </c>
      <c r="AB28" s="138" t="n">
        <f aca="false">IFERROR(AVERAGE(AB3:AB27),"")</f>
        <v>4.75</v>
      </c>
      <c r="AC28" s="138" t="str">
        <f aca="false">IFERROR(AVERAGE(AC3:AC27),"")</f>
        <v/>
      </c>
      <c r="AD28" s="138" t="str">
        <f aca="false">IFERROR(AVERAGE(AD3:AD27),"")</f>
        <v/>
      </c>
      <c r="AE28" s="138" t="str">
        <f aca="false">IFERROR(AVERAGE(AE3:AE27),"")</f>
        <v/>
      </c>
      <c r="AF28" s="138" t="str">
        <f aca="false">IFERROR(AVERAGE(AF3:AF27),"")</f>
        <v/>
      </c>
      <c r="AG28" s="138" t="str">
        <f aca="false">IFERROR(AVERAGE(AG3:AG27),"")</f>
        <v/>
      </c>
      <c r="AH28" s="138" t="str">
        <f aca="false">IFERROR(AVERAGE(AH3:AH27),"")</f>
        <v/>
      </c>
      <c r="AI28" s="138" t="str">
        <f aca="false">IFERROR(AVERAGE(AI3:AI27),"")</f>
        <v/>
      </c>
      <c r="AJ28" s="138" t="str">
        <f aca="false">IFERROR(AVERAGE(AJ3:AJ27),"")</f>
        <v/>
      </c>
      <c r="AK28" s="138" t="str">
        <f aca="false">IFERROR(AVERAGE(AK3:AK27),"")</f>
        <v/>
      </c>
      <c r="AL28" s="130"/>
      <c r="AM28" s="138" t="n">
        <f aca="false">IFERROR(AVERAGE(AM3:AM27),"")</f>
        <v>4.30875</v>
      </c>
      <c r="AN28" s="139" t="n">
        <f aca="false">IFERROR(AVERAGE(AN3:AN27),"")</f>
        <v>4.31666666666667</v>
      </c>
      <c r="AO28" s="139" t="str">
        <f aca="false">IFERROR(AVERAGE(AO3:AO27),"")</f>
        <v/>
      </c>
      <c r="AP28" s="139" t="n">
        <f aca="false">IFERROR(AVERAGE(AP3:AP27),"")</f>
        <v>167.823529411765</v>
      </c>
      <c r="AQ28" s="139" t="n">
        <f aca="false">IFERROR(AVERAGE(AQ3:AQ27),"")</f>
        <v>7.77875</v>
      </c>
      <c r="AR28" s="139" t="n">
        <f aca="false">IFERROR(AVERAGE(AR3:AR27),"")</f>
        <v>6.83411764705882</v>
      </c>
      <c r="AS28" s="139" t="n">
        <f aca="false">IFERROR(AVERAGE(AS3:AS27),"")</f>
        <v>12.210625</v>
      </c>
      <c r="AT28" s="139" t="n">
        <f aca="false">IFERROR(AVERAGE(AT3:AT27),"")</f>
        <v>14.2311764705882</v>
      </c>
      <c r="AU28" s="139" t="n">
        <f aca="false">IFERROR(AVERAGE(AU3:AU27),"")</f>
        <v>20.3125</v>
      </c>
      <c r="AV28" s="139" t="n">
        <f aca="false">IFERROR(AVERAGE(AV3:AV27),"")</f>
        <v>30.9375</v>
      </c>
      <c r="AW28" s="139" t="n">
        <f aca="false">IFERROR(AVERAGE(AW3:AW27),"")</f>
        <v>4.75</v>
      </c>
      <c r="AX28" s="139" t="n">
        <f aca="false">IFERROR(AVERAGE(AX3:AX27),"")</f>
        <v>9.5</v>
      </c>
      <c r="AY28" s="139" t="str">
        <f aca="false">IFERROR(AVERAGE(AY3:AY27),"")</f>
        <v/>
      </c>
      <c r="AZ28" s="139" t="str">
        <f aca="false">IFERROR(AVERAGE(AZ3:AZ27),"")</f>
        <v/>
      </c>
      <c r="BA28" s="139" t="str">
        <f aca="false">IFERROR(AVERAGE(BA3:BA27),"")</f>
        <v/>
      </c>
      <c r="BB28" s="139" t="str">
        <f aca="false">IFERROR(AVERAGE(BB3:BB27),"")</f>
        <v/>
      </c>
      <c r="BC28" s="139" t="str">
        <f aca="false">IFERROR(AVERAGE(BC3:BC27),"")</f>
        <v/>
      </c>
      <c r="BD28" s="139" t="str">
        <f aca="false">IFERROR(AVERAGE(BD3:BD27),"")</f>
        <v/>
      </c>
      <c r="BE28" s="139" t="str">
        <f aca="false">IFERROR(AVERAGE(BE3:BE27),"")</f>
        <v/>
      </c>
      <c r="BF28" s="139" t="str">
        <f aca="false">IFERROR(AVERAGE(BF3:BF27),"")</f>
        <v/>
      </c>
      <c r="BG28" s="139" t="str">
        <f aca="false">IFERROR(AVERAGE(BG3:BG27),"")</f>
        <v/>
      </c>
      <c r="BH28" s="139" t="str">
        <f aca="false">IFERROR(AVERAGE(BH3:BH27),"")</f>
        <v/>
      </c>
      <c r="BI28" s="139" t="str">
        <f aca="false">IFERROR(AVERAGE(BI3:BI27),"")</f>
        <v/>
      </c>
      <c r="BJ28" s="139" t="str">
        <f aca="false">IFERROR(AVERAGE(BJ3:BJ27),"")</f>
        <v/>
      </c>
      <c r="BK28" s="139" t="str">
        <f aca="false">IFERROR(AVERAGE(BK3:BK27),"")</f>
        <v/>
      </c>
      <c r="BL28" s="139" t="str">
        <f aca="false">IFERROR(AVERAGE(BL3:BL27),"")</f>
        <v/>
      </c>
      <c r="BM28" s="139" t="str">
        <f aca="false">IFERROR(AVERAGE(BM3:BM27),"")</f>
        <v/>
      </c>
      <c r="BN28" s="139" t="str">
        <f aca="false">IFERROR(AVERAGE(BN3:BN27),"")</f>
        <v/>
      </c>
      <c r="BO28" s="139" t="str">
        <f aca="false">IFERROR(AVERAGE(BO3:BO27),"")</f>
        <v/>
      </c>
      <c r="BP28" s="139" t="str">
        <f aca="false">IFERROR(AVERAGE(BP3:BP27),"")</f>
        <v/>
      </c>
      <c r="BQ28" s="140" t="str">
        <f aca="false">IFERROR(AVERAGE(BQ3:BQ27),"")</f>
        <v/>
      </c>
      <c r="BR28" s="130"/>
      <c r="BS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G28" s="131"/>
      <c r="EH28" s="131"/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W28" s="131"/>
      <c r="EX28" s="131"/>
      <c r="EY28" s="131"/>
      <c r="EZ28" s="131"/>
      <c r="FA28" s="131"/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M28" s="131"/>
      <c r="FN28" s="131"/>
      <c r="FO28" s="131"/>
      <c r="FP28" s="131"/>
      <c r="FQ28" s="131"/>
      <c r="FR28" s="131"/>
      <c r="FS28" s="131"/>
      <c r="FT28" s="131"/>
      <c r="FU28" s="131"/>
      <c r="FV28" s="131"/>
      <c r="FW28" s="131"/>
      <c r="FX28" s="131"/>
      <c r="FY28" s="131"/>
      <c r="FZ28" s="131"/>
      <c r="GA28" s="131"/>
      <c r="GC28" s="131"/>
      <c r="GD28" s="131"/>
      <c r="GE28" s="131"/>
      <c r="GF28" s="131"/>
      <c r="GG28" s="131"/>
      <c r="GH28" s="131"/>
      <c r="GI28" s="131"/>
      <c r="GJ28" s="131"/>
      <c r="GK28" s="131"/>
      <c r="GL28" s="131"/>
      <c r="GM28" s="131"/>
      <c r="GN28" s="131"/>
      <c r="GO28" s="131"/>
      <c r="GP28" s="131"/>
      <c r="GQ28" s="131"/>
      <c r="GS28" s="131"/>
      <c r="GT28" s="131"/>
      <c r="GU28" s="131"/>
      <c r="GV28" s="131"/>
      <c r="GW28" s="131"/>
      <c r="GX28" s="131"/>
      <c r="GY28" s="131"/>
      <c r="GZ28" s="131"/>
      <c r="HA28" s="131"/>
      <c r="HB28" s="131"/>
      <c r="HC28" s="131"/>
      <c r="HD28" s="131"/>
      <c r="HE28" s="131"/>
      <c r="HF28" s="131"/>
      <c r="HG28" s="131"/>
      <c r="HI28" s="131"/>
      <c r="HJ28" s="131"/>
      <c r="HK28" s="131"/>
      <c r="HL28" s="131"/>
      <c r="HM28" s="131"/>
      <c r="HN28" s="131"/>
      <c r="HO28" s="131"/>
      <c r="HP28" s="131"/>
      <c r="HQ28" s="131"/>
      <c r="HR28" s="131"/>
      <c r="HS28" s="131"/>
      <c r="HT28" s="131"/>
      <c r="HU28" s="131"/>
      <c r="HV28" s="131"/>
      <c r="HW28" s="131"/>
      <c r="HY28" s="131"/>
      <c r="HZ28" s="131"/>
      <c r="IA28" s="131"/>
      <c r="IB28" s="131"/>
      <c r="IC28" s="131"/>
      <c r="ID28" s="131"/>
      <c r="IE28" s="131"/>
      <c r="IF28" s="131"/>
      <c r="IG28" s="131"/>
      <c r="IH28" s="131"/>
      <c r="II28" s="131"/>
      <c r="IJ28" s="131"/>
      <c r="IK28" s="131"/>
      <c r="IL28" s="131"/>
      <c r="IM28" s="131"/>
      <c r="IO28" s="131"/>
      <c r="IP28" s="131"/>
      <c r="IQ28" s="131"/>
      <c r="IR28" s="131"/>
      <c r="IS28" s="131"/>
      <c r="IT28" s="131"/>
      <c r="IU28" s="132"/>
      <c r="IV28" s="132"/>
      <c r="IW28" s="132"/>
      <c r="IX28" s="132"/>
      <c r="IY28" s="132"/>
      <c r="IZ28" s="132"/>
      <c r="JA28" s="132"/>
      <c r="JB28" s="132"/>
      <c r="JC28" s="132"/>
    </row>
    <row r="29" s="2" customFormat="true" ht="15" hidden="false" customHeight="false" outlineLevel="0" collapsed="false">
      <c r="A29" s="141"/>
      <c r="B29" s="142"/>
      <c r="C29" s="142"/>
      <c r="D29" s="142"/>
      <c r="E29" s="142"/>
      <c r="F29" s="142"/>
      <c r="G29" s="143"/>
      <c r="I29" s="110" t="s">
        <v>38</v>
      </c>
      <c r="J29" s="111" t="n">
        <v>45897</v>
      </c>
      <c r="K29" s="110" t="s">
        <v>21</v>
      </c>
      <c r="L29" s="112" t="n">
        <v>8.43</v>
      </c>
      <c r="M29" s="5"/>
      <c r="N29" s="45"/>
      <c r="O29" s="45"/>
      <c r="P29" s="45"/>
      <c r="Q29" s="45"/>
      <c r="R29" s="45"/>
      <c r="S29" s="45"/>
      <c r="T29" s="78"/>
      <c r="U29" s="7"/>
      <c r="V29" s="137" t="s">
        <v>58</v>
      </c>
      <c r="W29" s="138" t="n">
        <f aca="false">IFERROR(STDEV(W3:W27),"")</f>
        <v>0.260560293726168</v>
      </c>
      <c r="X29" s="138" t="str">
        <f aca="false">IFERROR(STDEV(X3:X27),"")</f>
        <v/>
      </c>
      <c r="Y29" s="138" t="n">
        <f aca="false">IFERROR(STDEV(Y3:Y27),"")</f>
        <v>0.273906918496047</v>
      </c>
      <c r="Z29" s="138" t="n">
        <f aca="false">IFERROR(STDEV(Z3:Z27),"")</f>
        <v>1.03782765910338</v>
      </c>
      <c r="AA29" s="138" t="n">
        <f aca="false">IFERROR(STDEV(AA3:AA27),"")</f>
        <v>15.8017667788552</v>
      </c>
      <c r="AB29" s="138" t="n">
        <f aca="false">IFERROR(STDEV(AB3:AB27),"")</f>
        <v>2.32379000772445</v>
      </c>
      <c r="AC29" s="138" t="str">
        <f aca="false">IFERROR(STDEV(AC3:AC27),"")</f>
        <v/>
      </c>
      <c r="AD29" s="138" t="str">
        <f aca="false">IFERROR(STDEV(AD3:AD27),"")</f>
        <v/>
      </c>
      <c r="AE29" s="138" t="str">
        <f aca="false">IFERROR(STDEV(AE3:AE27),"")</f>
        <v/>
      </c>
      <c r="AF29" s="138" t="str">
        <f aca="false">IFERROR(STDEV(AF3:AF27),"")</f>
        <v/>
      </c>
      <c r="AG29" s="138" t="str">
        <f aca="false">IFERROR(STDEV(AG3:AG27),"")</f>
        <v/>
      </c>
      <c r="AH29" s="138" t="str">
        <f aca="false">IFERROR(STDEV(AH3:AH27),"")</f>
        <v/>
      </c>
      <c r="AI29" s="138" t="str">
        <f aca="false">IFERROR(STDEV(AI3:AI27),"")</f>
        <v/>
      </c>
      <c r="AJ29" s="138" t="str">
        <f aca="false">IFERROR(STDEV(AJ3:AJ27),"")</f>
        <v/>
      </c>
      <c r="AK29" s="138" t="str">
        <f aca="false">IFERROR(STDEV(AK3:AK27),"")</f>
        <v/>
      </c>
      <c r="AL29" s="144"/>
      <c r="AM29" s="138" t="n">
        <f aca="false">IFERROR(STDEV(AM3:AM27),"")</f>
        <v>0.260560293726168</v>
      </c>
      <c r="AN29" s="139" t="n">
        <f aca="false">IFERROR(STDEV(AN3:AN27),"")</f>
        <v>0.4143172981296</v>
      </c>
      <c r="AO29" s="139" t="str">
        <f aca="false">IFERROR(STDEV(AO3:AO27),"")</f>
        <v/>
      </c>
      <c r="AP29" s="139" t="n">
        <f aca="false">IFERROR(STDEV(AP3:AP27),"")</f>
        <v>15.5251219565163</v>
      </c>
      <c r="AQ29" s="139" t="n">
        <f aca="false">IFERROR(STDEV(AQ3:AQ27),"")</f>
        <v>0.273906918496047</v>
      </c>
      <c r="AR29" s="139" t="n">
        <f aca="false">IFERROR(STDEV(AR3:AR27),"")</f>
        <v>0.52343885535382</v>
      </c>
      <c r="AS29" s="139" t="n">
        <f aca="false">IFERROR(STDEV(AS3:AS27),"")</f>
        <v>1.03782765910338</v>
      </c>
      <c r="AT29" s="139" t="n">
        <f aca="false">IFERROR(STDEV(AT3:AT27),"")</f>
        <v>1.56086467363823</v>
      </c>
      <c r="AU29" s="139" t="n">
        <f aca="false">IFERROR(STDEV(AU3:AU27),"")</f>
        <v>15.8017667788552</v>
      </c>
      <c r="AV29" s="139" t="n">
        <f aca="false">IFERROR(STDEV(AV3:AV27),"")</f>
        <v>20.5019308033821</v>
      </c>
      <c r="AW29" s="139" t="n">
        <f aca="false">IFERROR(STDEV(AW3:AW27),"")</f>
        <v>2.32379000772445</v>
      </c>
      <c r="AX29" s="139" t="n">
        <f aca="false">IFERROR(STDEV(AX3:AX27),"")</f>
        <v>7.41170245849989</v>
      </c>
      <c r="AY29" s="139" t="str">
        <f aca="false">IFERROR(STDEV(AY3:AY27),"")</f>
        <v/>
      </c>
      <c r="AZ29" s="139" t="str">
        <f aca="false">IFERROR(STDEV(AZ3:AZ27),"")</f>
        <v/>
      </c>
      <c r="BA29" s="139" t="str">
        <f aca="false">IFERROR(STDEV(BA3:BA27),"")</f>
        <v/>
      </c>
      <c r="BB29" s="139" t="str">
        <f aca="false">IFERROR(STDEV(BB3:BB27),"")</f>
        <v/>
      </c>
      <c r="BC29" s="139" t="str">
        <f aca="false">IFERROR(STDEV(BC3:BC27),"")</f>
        <v/>
      </c>
      <c r="BD29" s="139" t="str">
        <f aca="false">IFERROR(STDEV(BD3:BD27),"")</f>
        <v/>
      </c>
      <c r="BE29" s="139" t="str">
        <f aca="false">IFERROR(STDEV(BE3:BE27),"")</f>
        <v/>
      </c>
      <c r="BF29" s="139" t="str">
        <f aca="false">IFERROR(STDEV(BF3:BF27),"")</f>
        <v/>
      </c>
      <c r="BG29" s="139" t="str">
        <f aca="false">IFERROR(STDEV(BG3:BG27),"")</f>
        <v/>
      </c>
      <c r="BH29" s="139" t="str">
        <f aca="false">IFERROR(STDEV(BH3:BH27),"")</f>
        <v/>
      </c>
      <c r="BI29" s="139" t="str">
        <f aca="false">IFERROR(STDEV(BI3:BI27),"")</f>
        <v/>
      </c>
      <c r="BJ29" s="139" t="str">
        <f aca="false">IFERROR(STDEV(BJ3:BJ27),"")</f>
        <v/>
      </c>
      <c r="BK29" s="139" t="str">
        <f aca="false">IFERROR(STDEV(BK3:BK27),"")</f>
        <v/>
      </c>
      <c r="BL29" s="139" t="str">
        <f aca="false">IFERROR(STDEV(BL3:BL27),"")</f>
        <v/>
      </c>
      <c r="BM29" s="139" t="str">
        <f aca="false">IFERROR(STDEV(BM3:BM27),"")</f>
        <v/>
      </c>
      <c r="BN29" s="139" t="str">
        <f aca="false">IFERROR(STDEV(BN3:BN27),"")</f>
        <v/>
      </c>
      <c r="BO29" s="139" t="str">
        <f aca="false">IFERROR(STDEV(BO3:BO27),"")</f>
        <v/>
      </c>
      <c r="BP29" s="139" t="str">
        <f aca="false">IFERROR(STDEV(BP3:BP27),"")</f>
        <v/>
      </c>
      <c r="BQ29" s="140" t="str">
        <f aca="false">IFERROR(STDEV(BQ3:BQ27),"")</f>
        <v/>
      </c>
      <c r="BR29" s="144"/>
      <c r="BS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O29" s="145"/>
      <c r="IP29" s="145"/>
      <c r="IQ29" s="145"/>
      <c r="IR29" s="145"/>
      <c r="IS29" s="145"/>
      <c r="IT29" s="145"/>
      <c r="IU29" s="146"/>
      <c r="IV29" s="146"/>
      <c r="IW29" s="146"/>
      <c r="IX29" s="146"/>
      <c r="IY29" s="146"/>
      <c r="IZ29" s="146"/>
      <c r="JA29" s="146"/>
      <c r="JB29" s="146"/>
      <c r="JC29" s="146"/>
    </row>
    <row r="30" s="2" customFormat="true" ht="15" hidden="false" customHeight="false" outlineLevel="0" collapsed="false">
      <c r="A30" s="147"/>
      <c r="G30" s="148"/>
      <c r="I30" s="110" t="s">
        <v>39</v>
      </c>
      <c r="J30" s="111" t="n">
        <v>45897</v>
      </c>
      <c r="K30" s="110" t="s">
        <v>21</v>
      </c>
      <c r="L30" s="112" t="n">
        <v>7.92</v>
      </c>
      <c r="M30" s="5"/>
      <c r="N30" s="45"/>
      <c r="O30" s="149" t="s">
        <v>60</v>
      </c>
      <c r="P30" s="149"/>
      <c r="Q30" s="149"/>
      <c r="R30" s="149"/>
      <c r="S30" s="45"/>
      <c r="T30" s="100"/>
      <c r="U30" s="7"/>
      <c r="V30" s="137" t="s">
        <v>61</v>
      </c>
      <c r="W30" s="137" t="n">
        <f aca="false">IFERROR(QUARTILE(W3:W27,1),"")</f>
        <v>4.2225</v>
      </c>
      <c r="X30" s="137" t="str">
        <f aca="false">IFERROR(QUARTILE(X3:X27,1),"")</f>
        <v/>
      </c>
      <c r="Y30" s="137" t="n">
        <f aca="false">IFERROR(QUARTILE(Y3:Y27,1),"")</f>
        <v>7.6775</v>
      </c>
      <c r="Z30" s="137" t="n">
        <f aca="false">IFERROR(QUARTILE(Z3:Z27,1),"")</f>
        <v>11.36</v>
      </c>
      <c r="AA30" s="137" t="n">
        <f aca="false">IFERROR(QUARTILE(AA3:AA27,1),"")</f>
        <v>9.75</v>
      </c>
      <c r="AB30" s="137" t="n">
        <f aca="false">IFERROR(QUARTILE(AB3:AB27,1),"")</f>
        <v>3</v>
      </c>
      <c r="AC30" s="137" t="str">
        <f aca="false">IFERROR(QUARTILE(AC3:AC27,1),"")</f>
        <v/>
      </c>
      <c r="AD30" s="137" t="str">
        <f aca="false">IFERROR(QUARTILE(AD3:AD27,1),"")</f>
        <v/>
      </c>
      <c r="AE30" s="137" t="str">
        <f aca="false">IFERROR(QUARTILE(AE3:AE27,1),"")</f>
        <v/>
      </c>
      <c r="AF30" s="137" t="str">
        <f aca="false">IFERROR(QUARTILE(AF3:AF27,1),"")</f>
        <v/>
      </c>
      <c r="AG30" s="137" t="str">
        <f aca="false">IFERROR(QUARTILE(AG3:AG27,1),"")</f>
        <v/>
      </c>
      <c r="AH30" s="137" t="str">
        <f aca="false">IFERROR(QUARTILE(AH3:AH27,1),"")</f>
        <v/>
      </c>
      <c r="AI30" s="137" t="str">
        <f aca="false">IFERROR(QUARTILE(AI3:AI27,1),"")</f>
        <v/>
      </c>
      <c r="AJ30" s="137" t="str">
        <f aca="false">IFERROR(QUARTILE(AJ3:AJ27,1),"")</f>
        <v/>
      </c>
      <c r="AK30" s="137" t="str">
        <f aca="false">IFERROR(QUARTILE(AK3:AK27,1),"")</f>
        <v/>
      </c>
      <c r="AL30" s="45"/>
      <c r="AM30" s="137" t="n">
        <f aca="false">IFERROR(QUARTILE(AM3:AM27,1),"")</f>
        <v>4.2225</v>
      </c>
      <c r="AN30" s="150" t="n">
        <f aca="false">IFERROR(QUARTILE(AN3:AN27,1),"")</f>
        <v>4.025</v>
      </c>
      <c r="AO30" s="150" t="str">
        <f aca="false">IFERROR(QUARTILE(AO3:AO27,1),"")</f>
        <v/>
      </c>
      <c r="AP30" s="150" t="n">
        <f aca="false">IFERROR(QUARTILE(AP3:AP27,1),"")</f>
        <v>159</v>
      </c>
      <c r="AQ30" s="150" t="n">
        <f aca="false">IFERROR(QUARTILE(AQ3:AQ27,1),"")</f>
        <v>7.6775</v>
      </c>
      <c r="AR30" s="150" t="n">
        <f aca="false">IFERROR(QUARTILE(AR3:AR27,1),"")</f>
        <v>6.61</v>
      </c>
      <c r="AS30" s="150" t="n">
        <f aca="false">IFERROR(QUARTILE(AS3:AS27,1),"")</f>
        <v>11.36</v>
      </c>
      <c r="AT30" s="150" t="n">
        <f aca="false">IFERROR(QUARTILE(AT3:AT27,1),"")</f>
        <v>13.4</v>
      </c>
      <c r="AU30" s="150" t="n">
        <f aca="false">IFERROR(QUARTILE(AU3:AU27,1),"")</f>
        <v>9.75</v>
      </c>
      <c r="AV30" s="150" t="n">
        <f aca="false">IFERROR(QUARTILE(AV3:AV27,1),"")</f>
        <v>16.75</v>
      </c>
      <c r="AW30" s="150" t="n">
        <f aca="false">IFERROR(QUARTILE(AW3:AW27,1),"")</f>
        <v>3</v>
      </c>
      <c r="AX30" s="150" t="n">
        <f aca="false">IFERROR(QUARTILE(AX3:AX27,1),"")</f>
        <v>5</v>
      </c>
      <c r="AY30" s="150" t="str">
        <f aca="false">IFERROR(QUARTILE(AY3:AY27,1),"")</f>
        <v/>
      </c>
      <c r="AZ30" s="150" t="str">
        <f aca="false">IFERROR(QUARTILE(AZ3:AZ27,1),"")</f>
        <v/>
      </c>
      <c r="BA30" s="150" t="str">
        <f aca="false">IFERROR(QUARTILE(BA3:BA27,1),"")</f>
        <v/>
      </c>
      <c r="BB30" s="150" t="str">
        <f aca="false">IFERROR(QUARTILE(BB3:BB27,1),"")</f>
        <v/>
      </c>
      <c r="BC30" s="150" t="str">
        <f aca="false">IFERROR(QUARTILE(BC3:BC27,1),"")</f>
        <v/>
      </c>
      <c r="BD30" s="150" t="str">
        <f aca="false">IFERROR(QUARTILE(BD3:BD27,1),"")</f>
        <v/>
      </c>
      <c r="BE30" s="150" t="str">
        <f aca="false">IFERROR(QUARTILE(BE3:BE27,1),"")</f>
        <v/>
      </c>
      <c r="BF30" s="150" t="str">
        <f aca="false">IFERROR(QUARTILE(BF3:BF27,1),"")</f>
        <v/>
      </c>
      <c r="BG30" s="150" t="str">
        <f aca="false">IFERROR(QUARTILE(BG3:BG27,1),"")</f>
        <v/>
      </c>
      <c r="BH30" s="150" t="str">
        <f aca="false">IFERROR(QUARTILE(BH3:BH27,1),"")</f>
        <v/>
      </c>
      <c r="BI30" s="150" t="str">
        <f aca="false">IFERROR(QUARTILE(BI3:BI27,1),"")</f>
        <v/>
      </c>
      <c r="BJ30" s="150" t="str">
        <f aca="false">IFERROR(QUARTILE(BJ3:BJ27,1),"")</f>
        <v/>
      </c>
      <c r="BK30" s="150" t="str">
        <f aca="false">IFERROR(QUARTILE(BK3:BK27,1),"")</f>
        <v/>
      </c>
      <c r="BL30" s="150" t="str">
        <f aca="false">IFERROR(QUARTILE(BL3:BL27,1),"")</f>
        <v/>
      </c>
      <c r="BM30" s="150" t="str">
        <f aca="false">IFERROR(QUARTILE(BM3:BM27,1),"")</f>
        <v/>
      </c>
      <c r="BN30" s="150" t="str">
        <f aca="false">IFERROR(QUARTILE(BN3:BN27,1),"")</f>
        <v/>
      </c>
      <c r="BO30" s="150" t="str">
        <f aca="false">IFERROR(QUARTILE(BO3:BO27,1),"")</f>
        <v/>
      </c>
      <c r="BP30" s="150" t="str">
        <f aca="false">IFERROR(QUARTILE(BP3:BP27,1),"")</f>
        <v/>
      </c>
      <c r="BQ30" s="151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s="2" customFormat="true" ht="15" hidden="false" customHeight="false" outlineLevel="0" collapsed="false">
      <c r="A31" s="147"/>
      <c r="G31" s="148"/>
      <c r="I31" s="110" t="s">
        <v>40</v>
      </c>
      <c r="J31" s="111" t="n">
        <v>45897</v>
      </c>
      <c r="K31" s="110" t="s">
        <v>21</v>
      </c>
      <c r="L31" s="112" t="n">
        <v>7.92</v>
      </c>
      <c r="M31" s="5"/>
      <c r="N31" s="45"/>
      <c r="O31" s="152" t="s">
        <v>62</v>
      </c>
      <c r="P31" s="153" t="s">
        <v>63</v>
      </c>
      <c r="Q31" s="154" t="s">
        <v>64</v>
      </c>
      <c r="R31" s="154"/>
      <c r="S31" s="45"/>
      <c r="T31" s="78"/>
      <c r="U31" s="7"/>
      <c r="V31" s="137" t="s">
        <v>65</v>
      </c>
      <c r="W31" s="155" t="n">
        <f aca="false">IFERROR(QUARTILE(W3:W27,2),"")</f>
        <v>4.32</v>
      </c>
      <c r="X31" s="156" t="str">
        <f aca="false">IFERROR(QUARTILE(X3:X27,2),"")</f>
        <v/>
      </c>
      <c r="Y31" s="156" t="n">
        <f aca="false">IFERROR(QUARTILE(Y3:Y27,2),"")</f>
        <v>7.765</v>
      </c>
      <c r="Z31" s="156" t="n">
        <f aca="false">IFERROR(QUARTILE(Z3:Z27,2),"")</f>
        <v>11.945</v>
      </c>
      <c r="AA31" s="156" t="n">
        <f aca="false">IFERROR(QUARTILE(AA3:AA27,2),"")</f>
        <v>12</v>
      </c>
      <c r="AB31" s="156" t="n">
        <f aca="false">IFERROR(QUARTILE(AB3:AB27,2),"")</f>
        <v>5</v>
      </c>
      <c r="AC31" s="156" t="str">
        <f aca="false">IFERROR(QUARTILE(AC3:AC27,2),"")</f>
        <v/>
      </c>
      <c r="AD31" s="156" t="str">
        <f aca="false">IFERROR(QUARTILE(AD3:AD27,2),"")</f>
        <v/>
      </c>
      <c r="AE31" s="156" t="str">
        <f aca="false">IFERROR(QUARTILE(AE3:AE27,2),"")</f>
        <v/>
      </c>
      <c r="AF31" s="156" t="str">
        <f aca="false">IFERROR(QUARTILE(AF3:AF27,2),"")</f>
        <v/>
      </c>
      <c r="AG31" s="156" t="str">
        <f aca="false">IFERROR(QUARTILE(AG3:AG27,2),"")</f>
        <v/>
      </c>
      <c r="AH31" s="156" t="str">
        <f aca="false">IFERROR(QUARTILE(AH3:AH27,2),"")</f>
        <v/>
      </c>
      <c r="AI31" s="156" t="str">
        <f aca="false">IFERROR(QUARTILE(AI3:AI27,2),"")</f>
        <v/>
      </c>
      <c r="AJ31" s="156" t="str">
        <f aca="false">IFERROR(QUARTILE(AJ3:AJ27,2),"")</f>
        <v/>
      </c>
      <c r="AK31" s="156" t="str">
        <f aca="false">IFERROR(QUARTILE(AK3:AK27,2),"")</f>
        <v/>
      </c>
      <c r="AL31" s="144"/>
      <c r="AM31" s="156" t="n">
        <f aca="false">IFERROR(QUARTILE(AM3:AM27,2),"")</f>
        <v>4.32</v>
      </c>
      <c r="AN31" s="44" t="n">
        <f aca="false">IFERROR(QUARTILE(AN3:AN27,2),"")</f>
        <v>4.25</v>
      </c>
      <c r="AO31" s="44" t="str">
        <f aca="false">IFERROR(QUARTILE(AO3:AO27,2),"")</f>
        <v/>
      </c>
      <c r="AP31" s="44" t="n">
        <f aca="false">IFERROR(QUARTILE(AP3:AP27,2),"")</f>
        <v>165</v>
      </c>
      <c r="AQ31" s="44" t="n">
        <f aca="false">IFERROR(QUARTILE(AQ3:AQ27,2),"")</f>
        <v>7.765</v>
      </c>
      <c r="AR31" s="44" t="n">
        <f aca="false">IFERROR(QUARTILE(AR3:AR27,2),"")</f>
        <v>6.73</v>
      </c>
      <c r="AS31" s="44" t="n">
        <f aca="false">IFERROR(QUARTILE(AS3:AS27,2),"")</f>
        <v>11.945</v>
      </c>
      <c r="AT31" s="44" t="n">
        <f aca="false">IFERROR(QUARTILE(AT3:AT27,2),"")</f>
        <v>14.23</v>
      </c>
      <c r="AU31" s="44" t="n">
        <f aca="false">IFERROR(QUARTILE(AU3:AU27,2),"")</f>
        <v>12</v>
      </c>
      <c r="AV31" s="44" t="n">
        <f aca="false">IFERROR(QUARTILE(AV3:AV27,2),"")</f>
        <v>29.5</v>
      </c>
      <c r="AW31" s="44" t="n">
        <f aca="false">IFERROR(QUARTILE(AW3:AW27,2),"")</f>
        <v>5</v>
      </c>
      <c r="AX31" s="44" t="n">
        <f aca="false">IFERROR(QUARTILE(AX3:AX27,2),"")</f>
        <v>8</v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3" t="str">
        <f aca="false">IFERROR(QUARTILE(BQ3:BQ27,2),"")</f>
        <v/>
      </c>
      <c r="BR31" s="144"/>
      <c r="BS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O31" s="145"/>
      <c r="IP31" s="145"/>
      <c r="IQ31" s="145"/>
      <c r="IR31" s="145"/>
      <c r="IS31" s="145"/>
      <c r="IT31" s="145"/>
      <c r="IU31" s="146"/>
      <c r="IV31" s="146"/>
      <c r="IW31" s="146"/>
      <c r="IX31" s="146"/>
      <c r="IY31" s="146"/>
      <c r="IZ31" s="146"/>
      <c r="JA31" s="146"/>
      <c r="JB31" s="146"/>
      <c r="JC31" s="146"/>
    </row>
    <row r="32" s="2" customFormat="true" ht="15" hidden="false" customHeight="false" outlineLevel="0" collapsed="false">
      <c r="A32" s="147"/>
      <c r="G32" s="148"/>
      <c r="I32" s="110" t="s">
        <v>41</v>
      </c>
      <c r="J32" s="111" t="n">
        <v>45897</v>
      </c>
      <c r="K32" s="110" t="s">
        <v>21</v>
      </c>
      <c r="L32" s="112" t="n">
        <v>7.84</v>
      </c>
      <c r="M32" s="5"/>
      <c r="N32" s="45"/>
      <c r="O32" s="157" t="n">
        <v>30</v>
      </c>
      <c r="P32" s="158" t="n">
        <v>3.73</v>
      </c>
      <c r="Q32" s="159" t="n">
        <f aca="false">IFERROR(O32/P32*3.6,"")</f>
        <v>28.9544235924933</v>
      </c>
      <c r="R32" s="159"/>
      <c r="S32" s="45"/>
      <c r="T32" s="39"/>
      <c r="U32" s="7"/>
      <c r="V32" s="137" t="s">
        <v>66</v>
      </c>
      <c r="W32" s="160" t="n">
        <f aca="false">IFERROR(QUARTILE(W3:W27,3),"")</f>
        <v>4.505</v>
      </c>
      <c r="X32" s="137" t="str">
        <f aca="false">IFERROR(QUARTILE(X3:X27,3),"")</f>
        <v/>
      </c>
      <c r="Y32" s="137" t="n">
        <f aca="false">IFERROR(QUARTILE(Y3:Y27,3),"")</f>
        <v>7.92</v>
      </c>
      <c r="Z32" s="137" t="n">
        <f aca="false">IFERROR(QUARTILE(Z3:Z27,3),"")</f>
        <v>12.88</v>
      </c>
      <c r="AA32" s="137" t="n">
        <f aca="false">IFERROR(QUARTILE(AA3:AA27,3),"")</f>
        <v>30.5</v>
      </c>
      <c r="AB32" s="137" t="n">
        <f aca="false">IFERROR(QUARTILE(AB3:AB27,3),"")</f>
        <v>6.25</v>
      </c>
      <c r="AC32" s="137" t="str">
        <f aca="false">IFERROR(QUARTILE(AC3:AC27,3),"")</f>
        <v/>
      </c>
      <c r="AD32" s="137" t="str">
        <f aca="false">IFERROR(QUARTILE(AD3:AD27,3),"")</f>
        <v/>
      </c>
      <c r="AE32" s="137" t="str">
        <f aca="false">IFERROR(QUARTILE(AE3:AE27,3),"")</f>
        <v/>
      </c>
      <c r="AF32" s="137" t="str">
        <f aca="false">IFERROR(QUARTILE(AF3:AF27,3),"")</f>
        <v/>
      </c>
      <c r="AG32" s="137" t="str">
        <f aca="false">IFERROR(QUARTILE(AG3:AG27,3),"")</f>
        <v/>
      </c>
      <c r="AH32" s="137" t="str">
        <f aca="false">IFERROR(QUARTILE(AH3:AH27,3),"")</f>
        <v/>
      </c>
      <c r="AI32" s="137" t="str">
        <f aca="false">IFERROR(QUARTILE(AI3:AI27,3),"")</f>
        <v/>
      </c>
      <c r="AJ32" s="137" t="str">
        <f aca="false">IFERROR(QUARTILE(AJ3:AJ27,3),"")</f>
        <v/>
      </c>
      <c r="AK32" s="137" t="str">
        <f aca="false">IFERROR(QUARTILE(AK3:AK27,3),"")</f>
        <v/>
      </c>
      <c r="AL32" s="144"/>
      <c r="AM32" s="137" t="n">
        <f aca="false">IFERROR(QUARTILE(AM3:AM27,3),"")</f>
        <v>4.505</v>
      </c>
      <c r="AN32" s="150" t="n">
        <f aca="false">IFERROR(QUARTILE(AN3:AN27,3),"")</f>
        <v>4.49</v>
      </c>
      <c r="AO32" s="150" t="str">
        <f aca="false">IFERROR(QUARTILE(AO3:AO27,3),"")</f>
        <v/>
      </c>
      <c r="AP32" s="150" t="n">
        <f aca="false">IFERROR(QUARTILE(AP3:AP27,3),"")</f>
        <v>180</v>
      </c>
      <c r="AQ32" s="150" t="n">
        <f aca="false">IFERROR(QUARTILE(AQ3:AQ27,3),"")</f>
        <v>7.92</v>
      </c>
      <c r="AR32" s="150" t="n">
        <f aca="false">IFERROR(QUARTILE(AR3:AR27,3),"")</f>
        <v>6.92</v>
      </c>
      <c r="AS32" s="150" t="n">
        <f aca="false">IFERROR(QUARTILE(AS3:AS27,3),"")</f>
        <v>12.88</v>
      </c>
      <c r="AT32" s="150" t="n">
        <f aca="false">IFERROR(QUARTILE(AT3:AT27,3),"")</f>
        <v>14.93</v>
      </c>
      <c r="AU32" s="150" t="n">
        <f aca="false">IFERROR(QUARTILE(AU3:AU27,3),"")</f>
        <v>30.5</v>
      </c>
      <c r="AV32" s="150" t="n">
        <f aca="false">IFERROR(QUARTILE(AV3:AV27,3),"")</f>
        <v>37.75</v>
      </c>
      <c r="AW32" s="150" t="n">
        <f aca="false">IFERROR(QUARTILE(AW3:AW27,3),"")</f>
        <v>6.25</v>
      </c>
      <c r="AX32" s="150" t="n">
        <f aca="false">IFERROR(QUARTILE(AX3:AX27,3),"")</f>
        <v>11</v>
      </c>
      <c r="AY32" s="150" t="str">
        <f aca="false">IFERROR(QUARTILE(AY3:AY27,3),"")</f>
        <v/>
      </c>
      <c r="AZ32" s="150" t="str">
        <f aca="false">IFERROR(QUARTILE(AZ3:AZ27,3),"")</f>
        <v/>
      </c>
      <c r="BA32" s="150" t="str">
        <f aca="false">IFERROR(QUARTILE(BA3:BA27,3),"")</f>
        <v/>
      </c>
      <c r="BB32" s="150" t="str">
        <f aca="false">IFERROR(QUARTILE(BB3:BB27,3),"")</f>
        <v/>
      </c>
      <c r="BC32" s="150" t="str">
        <f aca="false">IFERROR(QUARTILE(BC3:BC27,3),"")</f>
        <v/>
      </c>
      <c r="BD32" s="150" t="str">
        <f aca="false">IFERROR(QUARTILE(BD3:BD27,3),"")</f>
        <v/>
      </c>
      <c r="BE32" s="150" t="str">
        <f aca="false">IFERROR(QUARTILE(BE3:BE27,3),"")</f>
        <v/>
      </c>
      <c r="BF32" s="150" t="str">
        <f aca="false">IFERROR(QUARTILE(BF3:BF27,3),"")</f>
        <v/>
      </c>
      <c r="BG32" s="150" t="str">
        <f aca="false">IFERROR(QUARTILE(BG3:BG27,3),"")</f>
        <v/>
      </c>
      <c r="BH32" s="150" t="str">
        <f aca="false">IFERROR(QUARTILE(BH3:BH27,3),"")</f>
        <v/>
      </c>
      <c r="BI32" s="150" t="str">
        <f aca="false">IFERROR(QUARTILE(BI3:BI27,3),"")</f>
        <v/>
      </c>
      <c r="BJ32" s="150" t="str">
        <f aca="false">IFERROR(QUARTILE(BJ3:BJ27,3),"")</f>
        <v/>
      </c>
      <c r="BK32" s="150" t="str">
        <f aca="false">IFERROR(QUARTILE(BK3:BK27,3),"")</f>
        <v/>
      </c>
      <c r="BL32" s="150" t="str">
        <f aca="false">IFERROR(QUARTILE(BL3:BL27,3),"")</f>
        <v/>
      </c>
      <c r="BM32" s="150" t="str">
        <f aca="false">IFERROR(QUARTILE(BM3:BM27,3),"")</f>
        <v/>
      </c>
      <c r="BN32" s="150" t="str">
        <f aca="false">IFERROR(QUARTILE(BN3:BN27,3),"")</f>
        <v/>
      </c>
      <c r="BO32" s="150" t="str">
        <f aca="false">IFERROR(QUARTILE(BO3:BO27,3),"")</f>
        <v/>
      </c>
      <c r="BP32" s="150" t="str">
        <f aca="false">IFERROR(QUARTILE(BP3:BP27,3),"")</f>
        <v/>
      </c>
      <c r="BQ32" s="151" t="str">
        <f aca="false">IFERROR(QUARTILE(BQ3:BQ27,3),"")</f>
        <v/>
      </c>
      <c r="BR32" s="144"/>
      <c r="BS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O32" s="145"/>
      <c r="IP32" s="145"/>
      <c r="IQ32" s="145"/>
      <c r="IR32" s="145"/>
      <c r="IS32" s="145"/>
      <c r="IT32" s="145"/>
      <c r="IU32" s="146"/>
      <c r="IV32" s="146"/>
      <c r="IW32" s="146"/>
      <c r="IX32" s="146"/>
      <c r="IY32" s="146"/>
      <c r="IZ32" s="146"/>
      <c r="JA32" s="146"/>
      <c r="JB32" s="146"/>
      <c r="JC32" s="146"/>
    </row>
    <row r="33" s="2" customFormat="true" ht="15" hidden="false" customHeight="false" outlineLevel="0" collapsed="false">
      <c r="A33" s="147"/>
      <c r="G33" s="148"/>
      <c r="I33" s="110" t="s">
        <v>42</v>
      </c>
      <c r="J33" s="111" t="n">
        <v>45897</v>
      </c>
      <c r="K33" s="110" t="s">
        <v>21</v>
      </c>
      <c r="L33" s="112" t="n">
        <v>7.7</v>
      </c>
      <c r="M33" s="5"/>
      <c r="N33" s="45"/>
      <c r="O33" s="45"/>
      <c r="P33" s="45"/>
      <c r="Q33" s="45"/>
      <c r="R33" s="45"/>
      <c r="S33" s="45"/>
      <c r="T33" s="108"/>
      <c r="U33" s="7"/>
      <c r="V33" s="161" t="s">
        <v>67</v>
      </c>
      <c r="W33" s="162" t="n">
        <f aca="false">IFERROR(QUARTILE(W3:W27,4),"")</f>
        <v>4.65</v>
      </c>
      <c r="X33" s="161" t="str">
        <f aca="false">IFERROR(QUARTILE(X3:X27,4),"")</f>
        <v/>
      </c>
      <c r="Y33" s="161" t="n">
        <f aca="false">IFERROR(QUARTILE(Y3:Y27,4),"")</f>
        <v>8.43</v>
      </c>
      <c r="Z33" s="161" t="n">
        <f aca="false">IFERROR(QUARTILE(Z3:Z27,4),"")</f>
        <v>14.09</v>
      </c>
      <c r="AA33" s="161" t="n">
        <f aca="false">IFERROR(QUARTILE(AA3:AA27,4),"")</f>
        <v>56</v>
      </c>
      <c r="AB33" s="161" t="n">
        <f aca="false">IFERROR(QUARTILE(AB3:AB27,4),"")</f>
        <v>10</v>
      </c>
      <c r="AC33" s="161" t="str">
        <f aca="false">IFERROR(QUARTILE(AC3:AC27,4),"")</f>
        <v/>
      </c>
      <c r="AD33" s="161" t="str">
        <f aca="false">IFERROR(QUARTILE(AD3:AD27,4),"")</f>
        <v/>
      </c>
      <c r="AE33" s="161" t="str">
        <f aca="false">IFERROR(QUARTILE(AE3:AE27,4),"")</f>
        <v/>
      </c>
      <c r="AF33" s="161" t="str">
        <f aca="false">IFERROR(QUARTILE(AF3:AF27,4),"")</f>
        <v/>
      </c>
      <c r="AG33" s="161" t="str">
        <f aca="false">IFERROR(QUARTILE(AG3:AG27,4),"")</f>
        <v/>
      </c>
      <c r="AH33" s="161" t="str">
        <f aca="false">IFERROR(QUARTILE(AH3:AH27,4),"")</f>
        <v/>
      </c>
      <c r="AI33" s="161" t="str">
        <f aca="false">IFERROR(QUARTILE(AI3:AI27,4),"")</f>
        <v/>
      </c>
      <c r="AJ33" s="161" t="str">
        <f aca="false">IFERROR(QUARTILE(AJ3:AJ27,4),"")</f>
        <v/>
      </c>
      <c r="AK33" s="161" t="str">
        <f aca="false">IFERROR(QUARTILE(AK3:AK27,4),"")</f>
        <v/>
      </c>
      <c r="AL33" s="144"/>
      <c r="AM33" s="161" t="n">
        <f aca="false">IFERROR(QUARTILE(AM3:AM27,4),"")</f>
        <v>4.65</v>
      </c>
      <c r="AN33" s="163" t="n">
        <f aca="false">IFERROR(QUARTILE(AN3:AN27,4),"")</f>
        <v>5.41</v>
      </c>
      <c r="AO33" s="163" t="str">
        <f aca="false">IFERROR(QUARTILE(AO3:AO27,4),"")</f>
        <v/>
      </c>
      <c r="AP33" s="163" t="n">
        <f aca="false">IFERROR(QUARTILE(AP3:AP27,4),"")</f>
        <v>200</v>
      </c>
      <c r="AQ33" s="163" t="n">
        <f aca="false">IFERROR(QUARTILE(AQ3:AQ27,4),"")</f>
        <v>8.43</v>
      </c>
      <c r="AR33" s="163" t="n">
        <f aca="false">IFERROR(QUARTILE(AR3:AR27,4),"")</f>
        <v>8.67</v>
      </c>
      <c r="AS33" s="163" t="n">
        <f aca="false">IFERROR(QUARTILE(AS3:AS27,4),"")</f>
        <v>14.09</v>
      </c>
      <c r="AT33" s="163" t="n">
        <f aca="false">IFERROR(QUARTILE(AT3:AT27,4),"")</f>
        <v>17.99</v>
      </c>
      <c r="AU33" s="163" t="n">
        <f aca="false">IFERROR(QUARTILE(AU3:AU27,4),"")</f>
        <v>56</v>
      </c>
      <c r="AV33" s="163" t="n">
        <f aca="false">IFERROR(QUARTILE(AV3:AV27,4),"")</f>
        <v>80</v>
      </c>
      <c r="AW33" s="163" t="n">
        <f aca="false">IFERROR(QUARTILE(AW3:AW27,4),"")</f>
        <v>10</v>
      </c>
      <c r="AX33" s="163" t="n">
        <f aca="false">IFERROR(QUARTILE(AX3:AX27,4),"")</f>
        <v>27</v>
      </c>
      <c r="AY33" s="163" t="str">
        <f aca="false">IFERROR(QUARTILE(AY3:AY27,4),"")</f>
        <v/>
      </c>
      <c r="AZ33" s="163" t="str">
        <f aca="false">IFERROR(QUARTILE(AZ3:AZ27,4),"")</f>
        <v/>
      </c>
      <c r="BA33" s="163" t="str">
        <f aca="false">IFERROR(QUARTILE(BA3:BA27,4),"")</f>
        <v/>
      </c>
      <c r="BB33" s="163" t="str">
        <f aca="false">IFERROR(QUARTILE(BB3:BB27,4),"")</f>
        <v/>
      </c>
      <c r="BC33" s="163" t="str">
        <f aca="false">IFERROR(QUARTILE(BC3:BC27,4),"")</f>
        <v/>
      </c>
      <c r="BD33" s="163" t="str">
        <f aca="false">IFERROR(QUARTILE(BD3:BD27,4),"")</f>
        <v/>
      </c>
      <c r="BE33" s="163" t="str">
        <f aca="false">IFERROR(QUARTILE(BE3:BE27,4),"")</f>
        <v/>
      </c>
      <c r="BF33" s="163" t="str">
        <f aca="false">IFERROR(QUARTILE(BF3:BF27,4),"")</f>
        <v/>
      </c>
      <c r="BG33" s="163" t="str">
        <f aca="false">IFERROR(QUARTILE(BG3:BG27,4),"")</f>
        <v/>
      </c>
      <c r="BH33" s="163" t="str">
        <f aca="false">IFERROR(QUARTILE(BH3:BH27,4),"")</f>
        <v/>
      </c>
      <c r="BI33" s="163" t="str">
        <f aca="false">IFERROR(QUARTILE(BI3:BI27,4),"")</f>
        <v/>
      </c>
      <c r="BJ33" s="163" t="str">
        <f aca="false">IFERROR(QUARTILE(BJ3:BJ27,4),"")</f>
        <v/>
      </c>
      <c r="BK33" s="163" t="str">
        <f aca="false">IFERROR(QUARTILE(BK3:BK27,4),"")</f>
        <v/>
      </c>
      <c r="BL33" s="163" t="str">
        <f aca="false">IFERROR(QUARTILE(BL3:BL27,4),"")</f>
        <v/>
      </c>
      <c r="BM33" s="163" t="str">
        <f aca="false">IFERROR(QUARTILE(BM3:BM27,4),"")</f>
        <v/>
      </c>
      <c r="BN33" s="163" t="str">
        <f aca="false">IFERROR(QUARTILE(BN3:BN27,4),"")</f>
        <v/>
      </c>
      <c r="BO33" s="163" t="str">
        <f aca="false">IFERROR(QUARTILE(BO3:BO27,4),"")</f>
        <v/>
      </c>
      <c r="BP33" s="163" t="str">
        <f aca="false">IFERROR(QUARTILE(BP3:BP27,4),"")</f>
        <v/>
      </c>
      <c r="BQ33" s="151" t="str">
        <f aca="false">IFERROR(QUARTILE(BQ3:BQ27,4),"")</f>
        <v/>
      </c>
      <c r="IU33" s="1"/>
      <c r="IV33" s="1"/>
      <c r="IW33" s="1"/>
      <c r="IX33" s="1"/>
      <c r="IY33" s="1"/>
      <c r="IZ33" s="1"/>
      <c r="JA33" s="1"/>
      <c r="JB33" s="1"/>
      <c r="JC33" s="1"/>
    </row>
    <row r="34" s="2" customFormat="true" ht="15" hidden="false" customHeight="false" outlineLevel="0" collapsed="false">
      <c r="A34" s="147"/>
      <c r="G34" s="148"/>
      <c r="I34" s="110" t="s">
        <v>43</v>
      </c>
      <c r="J34" s="111" t="n">
        <v>45897</v>
      </c>
      <c r="K34" s="110" t="s">
        <v>21</v>
      </c>
      <c r="L34" s="112" t="n">
        <v>7.98</v>
      </c>
      <c r="M34" s="5"/>
      <c r="N34" s="45"/>
      <c r="O34" s="45"/>
      <c r="P34" s="45"/>
      <c r="Q34" s="45"/>
      <c r="R34" s="45"/>
      <c r="S34" s="45"/>
      <c r="T34" s="109"/>
      <c r="U34" s="7"/>
      <c r="V34" s="144"/>
      <c r="W34" s="144"/>
      <c r="IU34" s="1"/>
      <c r="IV34" s="1"/>
      <c r="IW34" s="1"/>
      <c r="IX34" s="1"/>
      <c r="IY34" s="1"/>
      <c r="IZ34" s="1"/>
      <c r="JA34" s="1"/>
      <c r="JB34" s="1"/>
      <c r="JC34" s="1"/>
    </row>
    <row r="35" s="2" customFormat="true" ht="15" hidden="false" customHeight="false" outlineLevel="0" collapsed="false">
      <c r="A35" s="147"/>
      <c r="G35" s="148"/>
      <c r="I35" s="110" t="s">
        <v>44</v>
      </c>
      <c r="J35" s="111" t="n">
        <v>45897</v>
      </c>
      <c r="K35" s="110" t="s">
        <v>21</v>
      </c>
      <c r="L35" s="112" t="n">
        <v>7.75</v>
      </c>
      <c r="M35" s="5"/>
      <c r="N35" s="45"/>
      <c r="O35" s="45"/>
      <c r="P35" s="1"/>
      <c r="Q35" s="45"/>
      <c r="R35" s="45"/>
      <c r="S35" s="45"/>
      <c r="T35" s="108"/>
      <c r="U35" s="7"/>
      <c r="V35" s="144"/>
      <c r="W35" s="144"/>
      <c r="IU35" s="1"/>
      <c r="IV35" s="1"/>
      <c r="IW35" s="1"/>
      <c r="IX35" s="1"/>
      <c r="IY35" s="1"/>
      <c r="IZ35" s="1"/>
      <c r="JA35" s="1"/>
      <c r="JB35" s="1"/>
      <c r="JC35" s="1"/>
    </row>
    <row r="36" s="2" customFormat="true" ht="15" hidden="false" customHeight="false" outlineLevel="0" collapsed="false">
      <c r="A36" s="147"/>
      <c r="G36" s="148"/>
      <c r="I36" s="110" t="s">
        <v>45</v>
      </c>
      <c r="J36" s="111" t="n">
        <v>45897</v>
      </c>
      <c r="K36" s="110" t="s">
        <v>21</v>
      </c>
      <c r="L36" s="112"/>
      <c r="M36" s="5"/>
      <c r="N36" s="45"/>
      <c r="O36" s="45"/>
      <c r="P36" s="45"/>
      <c r="Q36" s="45"/>
      <c r="R36" s="45"/>
      <c r="S36" s="45"/>
      <c r="T36" s="109"/>
      <c r="U36" s="7"/>
      <c r="V36" s="144"/>
      <c r="W36" s="144"/>
      <c r="IU36" s="1"/>
      <c r="IV36" s="1"/>
      <c r="IW36" s="1"/>
      <c r="IX36" s="1"/>
      <c r="IY36" s="1"/>
      <c r="IZ36" s="1"/>
      <c r="JA36" s="1"/>
      <c r="JB36" s="1"/>
      <c r="JC36" s="1"/>
    </row>
    <row r="37" s="2" customFormat="true" ht="15" hidden="false" customHeight="false" outlineLevel="0" collapsed="false">
      <c r="A37" s="147"/>
      <c r="G37" s="148"/>
      <c r="I37" s="110" t="s">
        <v>46</v>
      </c>
      <c r="J37" s="111" t="n">
        <v>45897</v>
      </c>
      <c r="K37" s="110" t="s">
        <v>21</v>
      </c>
      <c r="L37" s="112"/>
      <c r="M37" s="5"/>
      <c r="N37" s="45"/>
      <c r="O37" s="45"/>
      <c r="P37" s="45"/>
      <c r="Q37" s="45"/>
      <c r="R37" s="45"/>
      <c r="S37" s="45"/>
      <c r="T37" s="78"/>
      <c r="U37" s="7"/>
      <c r="V37" s="144"/>
      <c r="W37" s="144"/>
      <c r="IU37" s="1"/>
      <c r="IV37" s="1"/>
      <c r="IW37" s="1"/>
      <c r="IX37" s="1"/>
      <c r="IY37" s="1"/>
      <c r="IZ37" s="1"/>
      <c r="JA37" s="1"/>
      <c r="JB37" s="1"/>
      <c r="JC37" s="1"/>
    </row>
    <row r="38" s="2" customFormat="true" ht="15" hidden="false" customHeight="false" outlineLevel="0" collapsed="false">
      <c r="A38" s="147"/>
      <c r="G38" s="148"/>
      <c r="I38" s="164" t="s">
        <v>12</v>
      </c>
      <c r="J38" s="165" t="n">
        <v>45897</v>
      </c>
      <c r="K38" s="164" t="s">
        <v>23</v>
      </c>
      <c r="L38" s="166" t="n">
        <v>12.72</v>
      </c>
      <c r="M38" s="5"/>
      <c r="N38" s="45"/>
      <c r="O38" s="45"/>
      <c r="P38" s="45"/>
      <c r="Q38" s="45"/>
      <c r="R38" s="45"/>
      <c r="S38" s="45"/>
      <c r="T38" s="100"/>
      <c r="U38" s="7"/>
      <c r="V38" s="144"/>
      <c r="W38" s="144"/>
      <c r="IU38" s="1"/>
      <c r="IV38" s="1"/>
      <c r="IW38" s="1"/>
      <c r="IX38" s="1"/>
      <c r="IY38" s="1"/>
      <c r="IZ38" s="1"/>
      <c r="JA38" s="1"/>
      <c r="JB38" s="1"/>
      <c r="JC38" s="1"/>
    </row>
    <row r="39" s="2" customFormat="true" ht="15" hidden="false" customHeight="false" outlineLevel="0" collapsed="false">
      <c r="A39" s="147"/>
      <c r="G39" s="148"/>
      <c r="I39" s="164" t="s">
        <v>17</v>
      </c>
      <c r="J39" s="165" t="n">
        <v>45897</v>
      </c>
      <c r="K39" s="164" t="s">
        <v>23</v>
      </c>
      <c r="L39" s="166" t="n">
        <v>11.55</v>
      </c>
      <c r="M39" s="5"/>
      <c r="N39" s="45"/>
      <c r="O39" s="45"/>
      <c r="P39" s="45"/>
      <c r="Q39" s="45"/>
      <c r="R39" s="45"/>
      <c r="S39" s="45"/>
      <c r="T39" s="78"/>
      <c r="U39" s="7"/>
      <c r="V39" s="144"/>
      <c r="W39" s="144"/>
      <c r="IU39" s="1"/>
      <c r="IV39" s="1"/>
      <c r="IW39" s="1"/>
      <c r="IX39" s="1"/>
      <c r="IY39" s="1"/>
      <c r="IZ39" s="1"/>
      <c r="JA39" s="1"/>
      <c r="JB39" s="1"/>
      <c r="JC39" s="1"/>
    </row>
    <row r="40" s="2" customFormat="true" ht="15" hidden="false" customHeight="false" outlineLevel="0" collapsed="false">
      <c r="A40" s="147"/>
      <c r="G40" s="148"/>
      <c r="I40" s="164" t="s">
        <v>20</v>
      </c>
      <c r="J40" s="165" t="n">
        <v>45897</v>
      </c>
      <c r="K40" s="164" t="s">
        <v>23</v>
      </c>
      <c r="L40" s="166" t="n">
        <v>12.86</v>
      </c>
      <c r="M40" s="5"/>
      <c r="N40" s="45"/>
      <c r="O40" s="45"/>
      <c r="P40" s="45"/>
      <c r="Q40" s="45"/>
      <c r="R40" s="45"/>
      <c r="S40" s="45"/>
      <c r="T40" s="100"/>
      <c r="U40" s="7"/>
      <c r="V40" s="144"/>
      <c r="W40" s="144"/>
      <c r="IU40" s="1"/>
      <c r="IV40" s="1"/>
      <c r="IW40" s="1"/>
      <c r="IX40" s="1"/>
      <c r="IY40" s="1"/>
      <c r="IZ40" s="1"/>
      <c r="JA40" s="1"/>
      <c r="JB40" s="1"/>
      <c r="JC40" s="1"/>
    </row>
    <row r="41" s="2" customFormat="true" ht="15" hidden="false" customHeight="false" outlineLevel="0" collapsed="false">
      <c r="A41" s="147"/>
      <c r="G41" s="148"/>
      <c r="I41" s="164" t="s">
        <v>19</v>
      </c>
      <c r="J41" s="165" t="n">
        <v>45897</v>
      </c>
      <c r="K41" s="164" t="s">
        <v>23</v>
      </c>
      <c r="L41" s="166" t="n">
        <v>11.87</v>
      </c>
      <c r="M41" s="5"/>
      <c r="N41" s="45"/>
      <c r="O41" s="45"/>
      <c r="P41" s="45"/>
      <c r="Q41" s="45"/>
      <c r="R41" s="45"/>
      <c r="S41" s="45"/>
      <c r="T41" s="78"/>
      <c r="U41" s="7"/>
      <c r="V41" s="144"/>
      <c r="W41" s="144"/>
      <c r="IU41" s="1"/>
      <c r="IV41" s="1"/>
      <c r="IW41" s="1"/>
      <c r="IX41" s="1"/>
      <c r="IY41" s="1"/>
      <c r="IZ41" s="1"/>
      <c r="JA41" s="1"/>
      <c r="JB41" s="1"/>
      <c r="JC41" s="1"/>
    </row>
    <row r="42" s="2" customFormat="true" ht="15" hidden="false" customHeight="false" outlineLevel="0" collapsed="false">
      <c r="A42" s="147"/>
      <c r="G42" s="148"/>
      <c r="I42" s="164" t="s">
        <v>24</v>
      </c>
      <c r="J42" s="165" t="n">
        <v>45897</v>
      </c>
      <c r="K42" s="164" t="s">
        <v>23</v>
      </c>
      <c r="L42" s="166" t="n">
        <v>11.36</v>
      </c>
      <c r="M42" s="5"/>
      <c r="N42" s="45"/>
      <c r="O42" s="45"/>
      <c r="P42" s="45"/>
      <c r="Q42" s="45"/>
      <c r="R42" s="45"/>
      <c r="S42" s="45"/>
      <c r="T42" s="100"/>
      <c r="U42" s="7"/>
      <c r="V42" s="144"/>
      <c r="W42" s="144"/>
      <c r="IU42" s="1"/>
      <c r="IV42" s="1"/>
      <c r="IW42" s="1"/>
      <c r="IX42" s="1"/>
      <c r="IY42" s="1"/>
      <c r="IZ42" s="1"/>
      <c r="JA42" s="1"/>
      <c r="JB42" s="1"/>
      <c r="JC42" s="1"/>
    </row>
    <row r="43" s="2" customFormat="true" ht="15" hidden="false" customHeight="false" outlineLevel="0" collapsed="false">
      <c r="A43" s="147"/>
      <c r="G43" s="148"/>
      <c r="I43" s="164" t="s">
        <v>27</v>
      </c>
      <c r="J43" s="165" t="n">
        <v>45897</v>
      </c>
      <c r="K43" s="164" t="s">
        <v>23</v>
      </c>
      <c r="L43" s="166" t="n">
        <v>12.51</v>
      </c>
      <c r="M43" s="5"/>
      <c r="N43" s="45"/>
      <c r="O43" s="45"/>
      <c r="P43" s="45"/>
      <c r="Q43" s="45"/>
      <c r="R43" s="45"/>
      <c r="S43" s="45"/>
      <c r="T43" s="78"/>
      <c r="U43" s="7"/>
      <c r="V43" s="144"/>
      <c r="W43" s="144"/>
      <c r="IU43" s="1"/>
      <c r="IV43" s="1"/>
      <c r="IW43" s="1"/>
      <c r="IX43" s="1"/>
      <c r="IY43" s="1"/>
      <c r="IZ43" s="1"/>
      <c r="JA43" s="1"/>
      <c r="JB43" s="1"/>
      <c r="JC43" s="1"/>
    </row>
    <row r="44" s="2" customFormat="true" ht="15" hidden="false" customHeight="false" outlineLevel="0" collapsed="false">
      <c r="A44" s="147"/>
      <c r="G44" s="148"/>
      <c r="I44" s="164" t="s">
        <v>29</v>
      </c>
      <c r="J44" s="165" t="n">
        <v>45897</v>
      </c>
      <c r="K44" s="164" t="s">
        <v>23</v>
      </c>
      <c r="L44" s="166" t="n">
        <v>12.02</v>
      </c>
      <c r="M44" s="5"/>
      <c r="T44" s="100"/>
      <c r="U44" s="7"/>
      <c r="V44" s="144"/>
      <c r="W44" s="144"/>
      <c r="IU44" s="1"/>
      <c r="IV44" s="1"/>
      <c r="IW44" s="1"/>
      <c r="IX44" s="1"/>
      <c r="IY44" s="1"/>
      <c r="IZ44" s="1"/>
      <c r="JA44" s="1"/>
      <c r="JB44" s="1"/>
      <c r="JC44" s="1"/>
    </row>
    <row r="45" s="2" customFormat="true" ht="15" hidden="false" customHeight="false" outlineLevel="0" collapsed="false">
      <c r="A45" s="147"/>
      <c r="G45" s="148"/>
      <c r="I45" s="164" t="s">
        <v>30</v>
      </c>
      <c r="J45" s="165" t="n">
        <v>45897</v>
      </c>
      <c r="K45" s="164" t="s">
        <v>23</v>
      </c>
      <c r="L45" s="166" t="n">
        <v>11.66</v>
      </c>
      <c r="M45" s="5"/>
      <c r="T45" s="78"/>
      <c r="U45" s="7"/>
      <c r="V45" s="144"/>
      <c r="W45" s="144"/>
      <c r="IU45" s="1"/>
      <c r="IV45" s="1"/>
      <c r="IW45" s="1"/>
      <c r="IX45" s="1"/>
      <c r="IY45" s="1"/>
      <c r="IZ45" s="1"/>
      <c r="JA45" s="1"/>
      <c r="JB45" s="1"/>
      <c r="JC45" s="1"/>
    </row>
    <row r="46" s="2" customFormat="true" ht="15" hidden="false" customHeight="false" outlineLevel="0" collapsed="false">
      <c r="A46" s="167"/>
      <c r="B46" s="168"/>
      <c r="C46" s="168"/>
      <c r="D46" s="168"/>
      <c r="E46" s="168"/>
      <c r="F46" s="168"/>
      <c r="G46" s="169"/>
      <c r="I46" s="164" t="s">
        <v>32</v>
      </c>
      <c r="J46" s="165" t="n">
        <v>45897</v>
      </c>
      <c r="K46" s="164" t="s">
        <v>23</v>
      </c>
      <c r="L46" s="166" t="n">
        <v>13.6</v>
      </c>
      <c r="M46" s="5"/>
      <c r="T46" s="100"/>
      <c r="U46" s="7"/>
      <c r="V46" s="144"/>
      <c r="W46" s="144"/>
      <c r="IU46" s="1"/>
      <c r="IV46" s="1"/>
      <c r="IW46" s="1"/>
      <c r="IX46" s="1"/>
      <c r="IY46" s="1"/>
      <c r="IZ46" s="1"/>
      <c r="JA46" s="1"/>
      <c r="JB46" s="1"/>
      <c r="JC46" s="1"/>
    </row>
    <row r="47" s="2" customFormat="true" ht="17.35" hidden="false" customHeight="false" outlineLevel="0" collapsed="false">
      <c r="A47" s="170" t="str">
        <f aca="false">A1</f>
        <v>Rapport n°1</v>
      </c>
      <c r="B47" s="170"/>
      <c r="C47" s="170"/>
      <c r="E47" s="171" t="n">
        <f aca="false">E1</f>
        <v>45541</v>
      </c>
      <c r="F47" s="171"/>
      <c r="G47" s="171"/>
      <c r="I47" s="164" t="s">
        <v>38</v>
      </c>
      <c r="J47" s="165" t="n">
        <v>45897</v>
      </c>
      <c r="K47" s="164" t="s">
        <v>23</v>
      </c>
      <c r="L47" s="166" t="n">
        <v>13.82</v>
      </c>
      <c r="M47" s="5"/>
      <c r="T47" s="78"/>
      <c r="U47" s="7"/>
    </row>
    <row r="48" s="2" customFormat="true" ht="15" hidden="false" customHeight="false" outlineLevel="0" collapsed="false">
      <c r="I48" s="164" t="s">
        <v>39</v>
      </c>
      <c r="J48" s="165" t="n">
        <v>45897</v>
      </c>
      <c r="K48" s="164" t="s">
        <v>23</v>
      </c>
      <c r="L48" s="166" t="n">
        <v>12.94</v>
      </c>
      <c r="M48" s="5"/>
      <c r="T48" s="39"/>
      <c r="U48" s="7"/>
    </row>
    <row r="49" s="2" customFormat="true" ht="17.35" hidden="false" customHeight="false" outlineLevel="0" collapsed="false">
      <c r="A49" s="172" t="s">
        <v>14</v>
      </c>
      <c r="B49" s="172"/>
      <c r="C49" s="172"/>
      <c r="E49" s="52" t="s">
        <v>15</v>
      </c>
      <c r="F49" s="53" t="s">
        <v>68</v>
      </c>
      <c r="G49" s="54" t="s">
        <v>69</v>
      </c>
      <c r="I49" s="164" t="s">
        <v>40</v>
      </c>
      <c r="J49" s="165" t="n">
        <v>45897</v>
      </c>
      <c r="K49" s="164" t="s">
        <v>23</v>
      </c>
      <c r="L49" s="166" t="n">
        <v>14.09</v>
      </c>
      <c r="M49" s="5"/>
      <c r="T49" s="108"/>
      <c r="U49" s="7"/>
    </row>
    <row r="50" s="2" customFormat="true" ht="15" hidden="false" customHeight="false" outlineLevel="0" collapsed="false">
      <c r="A50" s="65"/>
      <c r="B50" s="66" t="s">
        <v>1</v>
      </c>
      <c r="C50" s="173" t="str">
        <f aca="false">IF(C4=0,"",C4)</f>
        <v>Nassim</v>
      </c>
      <c r="E50" s="68" t="s">
        <v>70</v>
      </c>
      <c r="F50" s="174" t="str">
        <f aca="false">IFERROR(VLOOKUP(E50,$A$58:$H$72,4,FALSE())*100/VLOOKUP(E50,$A$58:$H$72,7,FALSE())/100,"")</f>
        <v/>
      </c>
      <c r="G50" s="175" t="str">
        <f aca="false">IFERROR(VLOOKUP(E50,$A$58:$H$72,5,FALSE())*100/VLOOKUP(E50,$A$58:$H$72,7,FALSE())/100,"")</f>
        <v/>
      </c>
      <c r="I50" s="164" t="s">
        <v>41</v>
      </c>
      <c r="J50" s="165" t="n">
        <v>45897</v>
      </c>
      <c r="K50" s="164" t="s">
        <v>23</v>
      </c>
      <c r="L50" s="166" t="n">
        <v>10.76</v>
      </c>
      <c r="M50" s="5"/>
      <c r="T50" s="109"/>
      <c r="U50" s="7"/>
    </row>
    <row r="51" s="2" customFormat="true" ht="15" hidden="false" customHeight="false" outlineLevel="0" collapsed="false">
      <c r="A51" s="65"/>
      <c r="B51" s="73" t="s">
        <v>22</v>
      </c>
      <c r="C51" s="74" t="n">
        <f aca="false">IFERROR(VLOOKUP(C4,O2:S26,2,FALSE()),"")</f>
        <v>0</v>
      </c>
      <c r="E51" s="75" t="s">
        <v>71</v>
      </c>
      <c r="F51" s="176" t="str">
        <f aca="false">IFERROR(VLOOKUP(E51,$A$58:$H$72,4,FALSE())*100/VLOOKUP(E51,$A$58:$H$72,7,FALSE())/100,"")</f>
        <v/>
      </c>
      <c r="G51" s="175" t="str">
        <f aca="false">IFERROR(VLOOKUP(E51,$A$58:$H$72,5,FALSE())*100/VLOOKUP(E51,$A$58:$H$72,7,FALSE())/100,"")</f>
        <v/>
      </c>
      <c r="I51" s="164" t="s">
        <v>42</v>
      </c>
      <c r="J51" s="165" t="n">
        <v>45897</v>
      </c>
      <c r="K51" s="164" t="s">
        <v>23</v>
      </c>
      <c r="L51" s="166" t="n">
        <v>11.36</v>
      </c>
      <c r="M51" s="5"/>
      <c r="T51" s="108"/>
      <c r="U51" s="7"/>
    </row>
    <row r="52" s="2" customFormat="true" ht="15" hidden="false" customHeight="false" outlineLevel="0" collapsed="false">
      <c r="A52" s="65"/>
      <c r="B52" s="73" t="s">
        <v>8</v>
      </c>
      <c r="C52" s="74" t="n">
        <f aca="false">IFERROR(VLOOKUP(C4,O:Q,3,FALSE()),"")</f>
        <v>0</v>
      </c>
      <c r="E52" s="75" t="s">
        <v>72</v>
      </c>
      <c r="F52" s="176" t="str">
        <f aca="false">IFERROR(VLOOKUP(E52,$A$58:$H$72,4,FALSE())*100/VLOOKUP(E52,$A$58:$H$72,7,FALSE())/100,"")</f>
        <v/>
      </c>
      <c r="G52" s="175" t="str">
        <f aca="false">IFERROR(VLOOKUP(E52,$A$58:$H$72,5,FALSE())*100/VLOOKUP(E52,$A$58:$H$72,7,FALSE())/100,"")</f>
        <v/>
      </c>
      <c r="I52" s="164" t="s">
        <v>43</v>
      </c>
      <c r="J52" s="165" t="n">
        <v>45897</v>
      </c>
      <c r="K52" s="164" t="s">
        <v>23</v>
      </c>
      <c r="L52" s="166" t="n">
        <v>11.14</v>
      </c>
      <c r="M52" s="5"/>
      <c r="T52" s="109"/>
      <c r="U52" s="7"/>
    </row>
    <row r="53" s="2" customFormat="true" ht="15" hidden="false" customHeight="false" outlineLevel="0" collapsed="false">
      <c r="A53" s="65"/>
      <c r="B53" s="73" t="s">
        <v>9</v>
      </c>
      <c r="C53" s="74" t="n">
        <f aca="false">IFERROR(VLOOKUP(C4,O:R,4,FALSE()),"")</f>
        <v>0</v>
      </c>
      <c r="E53" s="75" t="s">
        <v>73</v>
      </c>
      <c r="F53" s="176" t="str">
        <f aca="false">IFERROR(VLOOKUP(E53,$A$58:$H$72,4,FALSE())*100/VLOOKUP(E53,$A$58:$H$72,7,FALSE())/100,"")</f>
        <v/>
      </c>
      <c r="G53" s="175" t="str">
        <f aca="false">IFERROR(VLOOKUP(E53,$A$58:$H$72,5,FALSE())*100/VLOOKUP(E53,$A$58:$H$72,7,FALSE())/100,"")</f>
        <v/>
      </c>
      <c r="I53" s="164" t="s">
        <v>44</v>
      </c>
      <c r="J53" s="165" t="n">
        <v>45897</v>
      </c>
      <c r="K53" s="164" t="s">
        <v>23</v>
      </c>
      <c r="L53" s="166" t="n">
        <v>11.11</v>
      </c>
      <c r="M53" s="5"/>
      <c r="T53" s="78"/>
      <c r="U53" s="7"/>
    </row>
    <row r="54" s="2" customFormat="true" ht="15" hidden="false" customHeight="false" outlineLevel="0" collapsed="false">
      <c r="A54" s="65"/>
      <c r="B54" s="79" t="s">
        <v>10</v>
      </c>
      <c r="C54" s="80" t="n">
        <f aca="false">IFERROR(VLOOKUP(C4,O:S,5,FALSE()),"")</f>
        <v>0</v>
      </c>
      <c r="E54" s="81" t="s">
        <v>74</v>
      </c>
      <c r="F54" s="177" t="str">
        <f aca="false">IFERROR(VLOOKUP(E54,$A$58:$H$72,4,FALSE())*100/VLOOKUP(E54,$A$58:$H$72,7,FALSE())/100,"")</f>
        <v/>
      </c>
      <c r="G54" s="178" t="str">
        <f aca="false">IFERROR(VLOOKUP(E54,$A$58:$H$72,5,FALSE())*100/VLOOKUP(E54,$A$58:$H$72,7,FALSE())/100,"")</f>
        <v/>
      </c>
      <c r="I54" s="164" t="s">
        <v>45</v>
      </c>
      <c r="J54" s="165" t="n">
        <v>45897</v>
      </c>
      <c r="K54" s="164" t="s">
        <v>23</v>
      </c>
      <c r="L54" s="166"/>
      <c r="M54" s="5"/>
      <c r="T54" s="100"/>
      <c r="U54" s="7"/>
    </row>
    <row r="55" s="2" customFormat="true" ht="15" hidden="false" customHeight="false" outlineLevel="0" collapsed="false">
      <c r="I55" s="164" t="s">
        <v>46</v>
      </c>
      <c r="J55" s="165" t="n">
        <v>45897</v>
      </c>
      <c r="K55" s="164" t="s">
        <v>23</v>
      </c>
      <c r="L55" s="166"/>
      <c r="M55" s="5"/>
      <c r="T55" s="78"/>
      <c r="U55" s="7"/>
    </row>
    <row r="56" s="2" customFormat="true" ht="17.35" hidden="false" customHeight="false" outlineLevel="0" collapsed="false">
      <c r="A56" s="84" t="s">
        <v>31</v>
      </c>
      <c r="B56" s="84"/>
      <c r="C56" s="84"/>
      <c r="D56" s="84"/>
      <c r="E56" s="84"/>
      <c r="F56" s="84"/>
      <c r="G56" s="84"/>
      <c r="I56" s="179" t="s">
        <v>12</v>
      </c>
      <c r="J56" s="180" t="n">
        <v>45897</v>
      </c>
      <c r="K56" s="179" t="s">
        <v>25</v>
      </c>
      <c r="L56" s="181" t="n">
        <v>10</v>
      </c>
      <c r="M56" s="5"/>
      <c r="T56" s="100"/>
      <c r="U56" s="7"/>
    </row>
    <row r="57" s="2" customFormat="true" ht="17.35" hidden="false" customHeight="false" outlineLevel="0" collapsed="false">
      <c r="A57" s="182"/>
      <c r="B57" s="87" t="s">
        <v>68</v>
      </c>
      <c r="C57" s="88" t="s">
        <v>69</v>
      </c>
      <c r="D57" s="88" t="s">
        <v>68</v>
      </c>
      <c r="E57" s="89" t="s">
        <v>69</v>
      </c>
      <c r="F57" s="183" t="s">
        <v>75</v>
      </c>
      <c r="G57" s="91" t="s">
        <v>37</v>
      </c>
      <c r="I57" s="179" t="s">
        <v>17</v>
      </c>
      <c r="J57" s="180" t="n">
        <v>45897</v>
      </c>
      <c r="K57" s="179" t="s">
        <v>25</v>
      </c>
      <c r="L57" s="181" t="n">
        <v>56</v>
      </c>
      <c r="M57" s="5"/>
      <c r="T57" s="78"/>
      <c r="U57" s="7"/>
    </row>
    <row r="58" s="2" customFormat="true" ht="15" hidden="false" customHeight="false" outlineLevel="0" collapsed="false">
      <c r="A58" s="92" t="s">
        <v>13</v>
      </c>
      <c r="B58" s="184" t="n">
        <v>45897</v>
      </c>
      <c r="C58" s="185" t="n">
        <v>46093</v>
      </c>
      <c r="D58" s="186" t="n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>4.49</v>
      </c>
      <c r="E58" s="187" t="n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>4.33</v>
      </c>
      <c r="F58" s="188" t="n">
        <f aca="false">IFERROR(((E58-D58)/D58)*100,"")</f>
        <v>-3.56347438752784</v>
      </c>
      <c r="G58" s="189" t="n">
        <f aca="false">IF(IFERROR(MAX(AM33:AN33),"")=0,"",IFERROR(MAX(AM33:AN33),""))</f>
        <v>5.41</v>
      </c>
      <c r="I58" s="179" t="s">
        <v>20</v>
      </c>
      <c r="J58" s="180" t="n">
        <v>45897</v>
      </c>
      <c r="K58" s="179" t="s">
        <v>25</v>
      </c>
      <c r="L58" s="181" t="n">
        <v>10</v>
      </c>
      <c r="M58" s="5"/>
      <c r="T58" s="100"/>
      <c r="U58" s="7"/>
    </row>
    <row r="59" s="2" customFormat="true" ht="15" hidden="false" customHeight="false" outlineLevel="0" collapsed="false">
      <c r="A59" s="92" t="s">
        <v>18</v>
      </c>
      <c r="B59" s="184" t="n">
        <v>45897</v>
      </c>
      <c r="C59" s="185" t="n">
        <v>46093</v>
      </c>
      <c r="D59" s="186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7" t="n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>150</v>
      </c>
      <c r="F59" s="188" t="str">
        <f aca="false">IFERROR(((E59-D59)/D59)*100,"")</f>
        <v/>
      </c>
      <c r="G59" s="190" t="n">
        <f aca="false">IF(IFERROR(MAX(AO33:AP33),"")=0,"",IFERROR(MAX(AO33:AP33),""))</f>
        <v>200</v>
      </c>
      <c r="I59" s="179" t="s">
        <v>19</v>
      </c>
      <c r="J59" s="180" t="n">
        <v>45897</v>
      </c>
      <c r="K59" s="179" t="s">
        <v>25</v>
      </c>
      <c r="L59" s="181" t="n">
        <v>35</v>
      </c>
      <c r="M59" s="5"/>
      <c r="T59" s="78"/>
      <c r="U59" s="7"/>
    </row>
    <row r="60" s="2" customFormat="true" ht="15" hidden="false" customHeight="false" outlineLevel="0" collapsed="false">
      <c r="A60" s="92" t="s">
        <v>21</v>
      </c>
      <c r="B60" s="184" t="n">
        <v>45897</v>
      </c>
      <c r="C60" s="185" t="n">
        <v>46093</v>
      </c>
      <c r="D60" s="186" t="n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>8.07</v>
      </c>
      <c r="E60" s="187" t="n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>6.62</v>
      </c>
      <c r="F60" s="188" t="n">
        <f aca="false">IFERROR(((E60-D60)/D60)*100,"")</f>
        <v>-17.9677819083024</v>
      </c>
      <c r="G60" s="190" t="n">
        <f aca="false">IF(IFERROR(MAX(AQ33:AR33),"")=0,"",IFERROR(MAX(AQ33:AR33),""))</f>
        <v>8.67</v>
      </c>
      <c r="I60" s="179" t="s">
        <v>24</v>
      </c>
      <c r="J60" s="180" t="n">
        <v>45897</v>
      </c>
      <c r="K60" s="179" t="s">
        <v>25</v>
      </c>
      <c r="L60" s="181" t="n">
        <v>46</v>
      </c>
      <c r="M60" s="5"/>
      <c r="T60" s="100"/>
      <c r="U60" s="7"/>
    </row>
    <row r="61" s="2" customFormat="true" ht="15" hidden="false" customHeight="false" outlineLevel="0" collapsed="false">
      <c r="A61" s="92" t="s">
        <v>23</v>
      </c>
      <c r="B61" s="184" t="n">
        <v>45897</v>
      </c>
      <c r="C61" s="185" t="n">
        <v>46093</v>
      </c>
      <c r="D61" s="186" t="n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>11.87</v>
      </c>
      <c r="E61" s="187" t="n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>12.18</v>
      </c>
      <c r="F61" s="188" t="n">
        <f aca="false">IFERROR(((E61-D61)/D61)*100,"")</f>
        <v>2.61162594776749</v>
      </c>
      <c r="G61" s="190" t="n">
        <f aca="false">IF(IFERROR(MAX(AS33:AT33),"")=0,"",IFERROR(MAX(AS33:AT33),""))</f>
        <v>17.99</v>
      </c>
      <c r="I61" s="179" t="s">
        <v>27</v>
      </c>
      <c r="J61" s="180" t="n">
        <v>45897</v>
      </c>
      <c r="K61" s="179" t="s">
        <v>25</v>
      </c>
      <c r="L61" s="181" t="n">
        <v>11</v>
      </c>
      <c r="M61" s="5"/>
      <c r="T61" s="78"/>
      <c r="U61" s="7"/>
    </row>
    <row r="62" s="2" customFormat="true" ht="15" hidden="false" customHeight="false" outlineLevel="0" collapsed="false">
      <c r="A62" s="92" t="s">
        <v>25</v>
      </c>
      <c r="B62" s="184" t="n">
        <v>45897</v>
      </c>
      <c r="C62" s="185" t="n">
        <v>46093</v>
      </c>
      <c r="D62" s="186" t="n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>35</v>
      </c>
      <c r="E62" s="187" t="n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>43</v>
      </c>
      <c r="F62" s="188" t="n">
        <f aca="false">IFERROR(((E62-D62)/D62)*100,"")</f>
        <v>22.8571428571429</v>
      </c>
      <c r="G62" s="190" t="n">
        <f aca="false">IF(IFERROR(MAX(AU33:AV33),"")=0,"",IFERROR(MAX(AU33:AV33),""))</f>
        <v>80</v>
      </c>
      <c r="I62" s="179" t="s">
        <v>29</v>
      </c>
      <c r="J62" s="180" t="n">
        <v>45897</v>
      </c>
      <c r="K62" s="179" t="s">
        <v>25</v>
      </c>
      <c r="L62" s="181" t="n">
        <v>29</v>
      </c>
      <c r="M62" s="5"/>
      <c r="T62" s="100"/>
      <c r="U62" s="7"/>
    </row>
    <row r="63" s="2" customFormat="true" ht="15" hidden="false" customHeight="false" outlineLevel="0" collapsed="false">
      <c r="A63" s="92" t="s">
        <v>28</v>
      </c>
      <c r="B63" s="184" t="n">
        <v>45897</v>
      </c>
      <c r="C63" s="185" t="n">
        <v>46093</v>
      </c>
      <c r="D63" s="186" t="n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>6</v>
      </c>
      <c r="E63" s="187" t="n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>9</v>
      </c>
      <c r="F63" s="188" t="n">
        <f aca="false">IFERROR(((E63-D63)/D63)*100,"")</f>
        <v>50</v>
      </c>
      <c r="G63" s="190" t="n">
        <f aca="false">IF(IFERROR(MAX(AW33:AX33),"")=0,"",IFERROR(MAX(AW33:AX33),""))</f>
        <v>27</v>
      </c>
      <c r="I63" s="179" t="s">
        <v>30</v>
      </c>
      <c r="J63" s="180" t="n">
        <v>45897</v>
      </c>
      <c r="K63" s="179" t="s">
        <v>25</v>
      </c>
      <c r="L63" s="181" t="n">
        <v>12</v>
      </c>
      <c r="M63" s="5"/>
      <c r="T63" s="78"/>
      <c r="U63" s="7"/>
    </row>
    <row r="64" s="2" customFormat="true" ht="15" hidden="false" customHeight="false" outlineLevel="0" collapsed="false">
      <c r="A64" s="92"/>
      <c r="B64" s="184"/>
      <c r="C64" s="185"/>
      <c r="D64" s="186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7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8" t="str">
        <f aca="false">IFERROR(((E64-D64)/D64)*100,"")</f>
        <v/>
      </c>
      <c r="G64" s="190" t="str">
        <f aca="false">IF(IFERROR(MAX(AY33:AZ33),"")=0,"",IFERROR(MAX(AY33:AZ33),""))</f>
        <v/>
      </c>
      <c r="I64" s="179" t="s">
        <v>32</v>
      </c>
      <c r="J64" s="180" t="n">
        <v>45897</v>
      </c>
      <c r="K64" s="179" t="s">
        <v>25</v>
      </c>
      <c r="L64" s="181" t="n">
        <v>8</v>
      </c>
      <c r="M64" s="5"/>
      <c r="T64" s="39"/>
      <c r="U64" s="7"/>
    </row>
    <row r="65" s="2" customFormat="true" ht="15" hidden="false" customHeight="false" outlineLevel="0" collapsed="false">
      <c r="A65" s="92"/>
      <c r="B65" s="184"/>
      <c r="C65" s="185"/>
      <c r="D65" s="186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7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8" t="str">
        <f aca="false">IFERROR(((E65-D65)/D65)*100,"")</f>
        <v/>
      </c>
      <c r="G65" s="190" t="str">
        <f aca="false">IF(IFERROR(MAX(BA33:BB33),"")=0,"",IFERROR(MAX(BA33:BB33),""))</f>
        <v/>
      </c>
      <c r="I65" s="179" t="s">
        <v>38</v>
      </c>
      <c r="J65" s="180" t="n">
        <v>45897</v>
      </c>
      <c r="K65" s="179" t="s">
        <v>25</v>
      </c>
      <c r="L65" s="181" t="n">
        <v>4</v>
      </c>
      <c r="M65" s="5"/>
      <c r="T65" s="108"/>
      <c r="U65" s="7"/>
    </row>
    <row r="66" s="2" customFormat="true" ht="15" hidden="false" customHeight="false" outlineLevel="0" collapsed="false">
      <c r="A66" s="92"/>
      <c r="B66" s="184"/>
      <c r="C66" s="185"/>
      <c r="D66" s="186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7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8" t="str">
        <f aca="false">IFERROR(((E66-D66)/D66)*100,"")</f>
        <v/>
      </c>
      <c r="G66" s="190" t="str">
        <f aca="false">IF(IFERROR(MAX(BC33:BD33),"")=0,"",IFERROR(MAX(BC33:BD33),""))</f>
        <v/>
      </c>
      <c r="I66" s="179" t="s">
        <v>39</v>
      </c>
      <c r="J66" s="180" t="n">
        <v>45897</v>
      </c>
      <c r="K66" s="179" t="s">
        <v>25</v>
      </c>
      <c r="L66" s="181" t="n">
        <v>12</v>
      </c>
      <c r="M66" s="5"/>
      <c r="T66" s="109"/>
      <c r="U66" s="7"/>
    </row>
    <row r="67" s="2" customFormat="true" ht="15" hidden="false" customHeight="false" outlineLevel="0" collapsed="false">
      <c r="A67" s="92"/>
      <c r="B67" s="184"/>
      <c r="C67" s="185"/>
      <c r="D67" s="186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7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8" t="str">
        <f aca="false">IFERROR(((E67-D67)/D67)*100,"")</f>
        <v/>
      </c>
      <c r="G67" s="190" t="str">
        <f aca="false">IF(IFERROR(MAX(BE33:BF33),"")=0,"",IFERROR(MAX(BE33:BF33),""))</f>
        <v/>
      </c>
      <c r="I67" s="179" t="s">
        <v>40</v>
      </c>
      <c r="J67" s="180" t="n">
        <v>45897</v>
      </c>
      <c r="K67" s="179" t="s">
        <v>25</v>
      </c>
      <c r="L67" s="181" t="n">
        <v>35</v>
      </c>
      <c r="M67" s="5"/>
      <c r="T67" s="108"/>
      <c r="U67" s="7"/>
    </row>
    <row r="68" s="2" customFormat="true" ht="15" hidden="false" customHeight="false" outlineLevel="0" collapsed="false">
      <c r="A68" s="92"/>
      <c r="B68" s="184"/>
      <c r="C68" s="185"/>
      <c r="D68" s="186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7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8" t="str">
        <f aca="false">IFERROR(((E68-D68)/D68)*100,"")</f>
        <v/>
      </c>
      <c r="G68" s="190" t="str">
        <f aca="false">IF(IFERROR(MAX(BG33:BH33),"")=0,"",IFERROR(MAX(BG33:BH33),""))</f>
        <v/>
      </c>
      <c r="I68" s="179" t="s">
        <v>41</v>
      </c>
      <c r="J68" s="180" t="n">
        <v>45897</v>
      </c>
      <c r="K68" s="179" t="s">
        <v>25</v>
      </c>
      <c r="L68" s="181" t="n">
        <v>29</v>
      </c>
      <c r="M68" s="5"/>
      <c r="T68" s="109"/>
      <c r="U68" s="7"/>
    </row>
    <row r="69" s="2" customFormat="true" ht="15" hidden="false" customHeight="false" outlineLevel="0" collapsed="false">
      <c r="A69" s="92"/>
      <c r="B69" s="184"/>
      <c r="C69" s="185"/>
      <c r="D69" s="186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7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8" t="str">
        <f aca="false">IFERROR(((E69-D69)/D69)*100,"")</f>
        <v/>
      </c>
      <c r="G69" s="190" t="str">
        <f aca="false">IF(IFERROR(MAX(BI33:BJ33),"")=0,"",IFERROR(MAX(BI33:BJ33),""))</f>
        <v/>
      </c>
      <c r="I69" s="179" t="s">
        <v>42</v>
      </c>
      <c r="J69" s="180" t="n">
        <v>45897</v>
      </c>
      <c r="K69" s="179" t="s">
        <v>25</v>
      </c>
      <c r="L69" s="181" t="n">
        <v>12</v>
      </c>
      <c r="M69" s="5"/>
      <c r="T69" s="78"/>
      <c r="U69" s="7"/>
    </row>
    <row r="70" s="2" customFormat="true" ht="15" hidden="false" customHeight="false" outlineLevel="0" collapsed="false">
      <c r="A70" s="92"/>
      <c r="B70" s="184"/>
      <c r="C70" s="185"/>
      <c r="D70" s="186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7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8" t="str">
        <f aca="false">IFERROR(((E70-D70)/D70)*100,"")</f>
        <v/>
      </c>
      <c r="G70" s="190" t="str">
        <f aca="false">IF(IFERROR(MAX(BK33:BL33),"")=0,"",IFERROR(MAX(BK33:BL33),""))</f>
        <v/>
      </c>
      <c r="I70" s="179" t="s">
        <v>43</v>
      </c>
      <c r="J70" s="180" t="n">
        <v>45897</v>
      </c>
      <c r="K70" s="179" t="s">
        <v>25</v>
      </c>
      <c r="L70" s="181" t="n">
        <v>9</v>
      </c>
      <c r="M70" s="5"/>
      <c r="T70" s="100"/>
      <c r="U70" s="7"/>
    </row>
    <row r="71" s="2" customFormat="true" ht="15" hidden="false" customHeight="false" outlineLevel="0" collapsed="false">
      <c r="A71" s="92"/>
      <c r="B71" s="184"/>
      <c r="C71" s="185"/>
      <c r="D71" s="186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7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8" t="str">
        <f aca="false">IFERROR(((E71-D71)/D71)*100,"")</f>
        <v/>
      </c>
      <c r="G71" s="190" t="str">
        <f aca="false">IF(IFERROR(MAX(BM33:BN33),"")=0,"",IFERROR(MAX(BM33:BN33),""))</f>
        <v/>
      </c>
      <c r="I71" s="179" t="s">
        <v>44</v>
      </c>
      <c r="J71" s="180" t="n">
        <v>45897</v>
      </c>
      <c r="K71" s="179" t="s">
        <v>25</v>
      </c>
      <c r="L71" s="181" t="n">
        <v>7</v>
      </c>
      <c r="M71" s="5"/>
      <c r="T71" s="78"/>
      <c r="U71" s="7"/>
    </row>
    <row r="72" s="2" customFormat="true" ht="15" hidden="false" customHeight="false" outlineLevel="0" collapsed="false">
      <c r="A72" s="114"/>
      <c r="B72" s="191"/>
      <c r="C72" s="192"/>
      <c r="D72" s="193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4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5" t="str">
        <f aca="false">IFERROR(((E72-D72)/D72)*100,"")</f>
        <v/>
      </c>
      <c r="G72" s="196" t="str">
        <f aca="false">IF(IFERROR(MAX(BO33:BP33),"")=0,"",IFERROR(MAX(BO33:BP33),""))</f>
        <v/>
      </c>
      <c r="I72" s="179" t="s">
        <v>45</v>
      </c>
      <c r="J72" s="180" t="n">
        <v>45897</v>
      </c>
      <c r="K72" s="179" t="s">
        <v>25</v>
      </c>
      <c r="L72" s="181"/>
      <c r="M72" s="5"/>
      <c r="T72" s="100"/>
      <c r="U72" s="7"/>
    </row>
    <row r="73" s="2" customFormat="true" ht="15" hidden="false" customHeight="false" outlineLevel="0" collapsed="false">
      <c r="I73" s="179" t="s">
        <v>46</v>
      </c>
      <c r="J73" s="180" t="n">
        <v>45897</v>
      </c>
      <c r="K73" s="179" t="s">
        <v>25</v>
      </c>
      <c r="L73" s="181"/>
      <c r="M73" s="5"/>
      <c r="T73" s="78"/>
      <c r="U73" s="7"/>
    </row>
    <row r="74" s="2" customFormat="true" ht="17.35" hidden="false" customHeight="false" outlineLevel="0" collapsed="false">
      <c r="A74" s="84" t="s">
        <v>57</v>
      </c>
      <c r="B74" s="84"/>
      <c r="C74" s="84"/>
      <c r="D74" s="84"/>
      <c r="E74" s="84"/>
      <c r="F74" s="84"/>
      <c r="G74" s="84"/>
      <c r="I74" s="197" t="s">
        <v>12</v>
      </c>
      <c r="J74" s="198" t="n">
        <v>45897</v>
      </c>
      <c r="K74" s="197" t="s">
        <v>28</v>
      </c>
      <c r="L74" s="199" t="n">
        <v>5</v>
      </c>
      <c r="M74" s="5"/>
      <c r="T74" s="100"/>
      <c r="U74" s="7"/>
    </row>
    <row r="75" s="2" customFormat="true" ht="15" hidden="false" customHeight="false" outlineLevel="0" collapsed="false">
      <c r="A75" s="141"/>
      <c r="B75" s="142"/>
      <c r="C75" s="142"/>
      <c r="D75" s="142"/>
      <c r="E75" s="142"/>
      <c r="F75" s="142"/>
      <c r="G75" s="143"/>
      <c r="I75" s="197" t="s">
        <v>17</v>
      </c>
      <c r="J75" s="198" t="n">
        <v>45897</v>
      </c>
      <c r="K75" s="197" t="s">
        <v>28</v>
      </c>
      <c r="L75" s="199" t="n">
        <v>7</v>
      </c>
      <c r="M75" s="5"/>
      <c r="T75" s="78"/>
      <c r="U75" s="7"/>
    </row>
    <row r="76" s="2" customFormat="true" ht="15" hidden="false" customHeight="false" outlineLevel="0" collapsed="false">
      <c r="A76" s="147"/>
      <c r="G76" s="148"/>
      <c r="I76" s="197" t="s">
        <v>20</v>
      </c>
      <c r="J76" s="198" t="n">
        <v>45897</v>
      </c>
      <c r="K76" s="197" t="s">
        <v>28</v>
      </c>
      <c r="L76" s="199" t="n">
        <v>3</v>
      </c>
      <c r="M76" s="5"/>
      <c r="T76" s="100"/>
      <c r="U76" s="7"/>
    </row>
    <row r="77" s="2" customFormat="true" ht="15" hidden="false" customHeight="false" outlineLevel="0" collapsed="false">
      <c r="A77" s="147"/>
      <c r="G77" s="148"/>
      <c r="I77" s="197" t="s">
        <v>19</v>
      </c>
      <c r="J77" s="198" t="n">
        <v>45897</v>
      </c>
      <c r="K77" s="197" t="s">
        <v>28</v>
      </c>
      <c r="L77" s="199" t="n">
        <v>6</v>
      </c>
      <c r="M77" s="5"/>
      <c r="T77" s="78"/>
      <c r="U77" s="7"/>
    </row>
    <row r="78" s="2" customFormat="true" ht="15" hidden="false" customHeight="false" outlineLevel="0" collapsed="false">
      <c r="A78" s="147"/>
      <c r="G78" s="148"/>
      <c r="I78" s="197" t="s">
        <v>24</v>
      </c>
      <c r="J78" s="198" t="n">
        <v>45897</v>
      </c>
      <c r="K78" s="197" t="s">
        <v>28</v>
      </c>
      <c r="L78" s="199" t="n">
        <v>7</v>
      </c>
      <c r="M78" s="5"/>
      <c r="T78" s="100"/>
      <c r="U78" s="7"/>
    </row>
    <row r="79" s="2" customFormat="true" ht="15" hidden="false" customHeight="false" outlineLevel="0" collapsed="false">
      <c r="A79" s="147"/>
      <c r="G79" s="148"/>
      <c r="I79" s="197" t="s">
        <v>27</v>
      </c>
      <c r="J79" s="198" t="n">
        <v>45897</v>
      </c>
      <c r="K79" s="197" t="s">
        <v>28</v>
      </c>
      <c r="L79" s="199" t="n">
        <v>3</v>
      </c>
      <c r="M79" s="5"/>
      <c r="T79" s="78"/>
      <c r="U79" s="7"/>
    </row>
    <row r="80" s="2" customFormat="true" ht="15" hidden="false" customHeight="false" outlineLevel="0" collapsed="false">
      <c r="A80" s="147"/>
      <c r="G80" s="148"/>
      <c r="I80" s="197" t="s">
        <v>29</v>
      </c>
      <c r="J80" s="198" t="n">
        <v>45897</v>
      </c>
      <c r="K80" s="197" t="s">
        <v>28</v>
      </c>
      <c r="L80" s="199" t="n">
        <v>7</v>
      </c>
      <c r="M80" s="5"/>
      <c r="T80" s="39"/>
      <c r="U80" s="7"/>
    </row>
    <row r="81" s="2" customFormat="true" ht="15" hidden="false" customHeight="false" outlineLevel="0" collapsed="false">
      <c r="A81" s="147"/>
      <c r="G81" s="148"/>
      <c r="I81" s="197" t="s">
        <v>30</v>
      </c>
      <c r="J81" s="198" t="n">
        <v>45897</v>
      </c>
      <c r="K81" s="197" t="s">
        <v>28</v>
      </c>
      <c r="L81" s="199" t="n">
        <v>10</v>
      </c>
      <c r="M81" s="5"/>
      <c r="T81" s="108"/>
      <c r="U81" s="7"/>
    </row>
    <row r="82" s="2" customFormat="true" ht="15" hidden="false" customHeight="false" outlineLevel="0" collapsed="false">
      <c r="A82" s="147"/>
      <c r="G82" s="148"/>
      <c r="I82" s="197" t="s">
        <v>32</v>
      </c>
      <c r="J82" s="198" t="n">
        <v>45897</v>
      </c>
      <c r="K82" s="197" t="s">
        <v>28</v>
      </c>
      <c r="L82" s="199" t="n">
        <v>3</v>
      </c>
      <c r="M82" s="5"/>
      <c r="T82" s="109"/>
      <c r="U82" s="7"/>
    </row>
    <row r="83" s="2" customFormat="true" ht="15" hidden="false" customHeight="false" outlineLevel="0" collapsed="false">
      <c r="A83" s="147"/>
      <c r="G83" s="148"/>
      <c r="I83" s="197" t="s">
        <v>38</v>
      </c>
      <c r="J83" s="198" t="n">
        <v>45897</v>
      </c>
      <c r="K83" s="197" t="s">
        <v>28</v>
      </c>
      <c r="L83" s="199" t="n">
        <v>2</v>
      </c>
      <c r="M83" s="5"/>
      <c r="T83" s="108"/>
      <c r="U83" s="7"/>
    </row>
    <row r="84" s="2" customFormat="true" ht="15" hidden="false" customHeight="false" outlineLevel="0" collapsed="false">
      <c r="A84" s="147"/>
      <c r="G84" s="148"/>
      <c r="I84" s="197" t="s">
        <v>39</v>
      </c>
      <c r="J84" s="198" t="n">
        <v>45897</v>
      </c>
      <c r="K84" s="197" t="s">
        <v>28</v>
      </c>
      <c r="L84" s="199" t="n">
        <v>6</v>
      </c>
      <c r="M84" s="5"/>
      <c r="T84" s="109"/>
      <c r="U84" s="7"/>
    </row>
    <row r="85" s="2" customFormat="true" ht="15" hidden="false" customHeight="false" outlineLevel="0" collapsed="false">
      <c r="A85" s="147"/>
      <c r="G85" s="148"/>
      <c r="I85" s="197" t="s">
        <v>40</v>
      </c>
      <c r="J85" s="198" t="n">
        <v>45897</v>
      </c>
      <c r="K85" s="197" t="s">
        <v>28</v>
      </c>
      <c r="L85" s="199" t="n">
        <v>5</v>
      </c>
      <c r="M85" s="5"/>
      <c r="T85" s="78"/>
      <c r="U85" s="7"/>
    </row>
    <row r="86" s="2" customFormat="true" ht="15" hidden="false" customHeight="false" outlineLevel="0" collapsed="false">
      <c r="A86" s="147"/>
      <c r="G86" s="148"/>
      <c r="I86" s="197" t="s">
        <v>41</v>
      </c>
      <c r="J86" s="198" t="n">
        <v>45897</v>
      </c>
      <c r="K86" s="197" t="s">
        <v>28</v>
      </c>
      <c r="L86" s="199" t="n">
        <v>2</v>
      </c>
      <c r="M86" s="5"/>
      <c r="T86" s="100"/>
      <c r="U86" s="7"/>
    </row>
    <row r="87" s="2" customFormat="true" ht="15" hidden="false" customHeight="false" outlineLevel="0" collapsed="false">
      <c r="A87" s="147"/>
      <c r="G87" s="148"/>
      <c r="I87" s="197" t="s">
        <v>42</v>
      </c>
      <c r="J87" s="198" t="n">
        <v>45897</v>
      </c>
      <c r="K87" s="197" t="s">
        <v>28</v>
      </c>
      <c r="L87" s="199" t="n">
        <v>5</v>
      </c>
      <c r="M87" s="5"/>
      <c r="T87" s="78"/>
      <c r="U87" s="7"/>
    </row>
    <row r="88" s="2" customFormat="true" ht="15" hidden="false" customHeight="false" outlineLevel="0" collapsed="false">
      <c r="A88" s="147"/>
      <c r="G88" s="148"/>
      <c r="I88" s="197" t="s">
        <v>43</v>
      </c>
      <c r="J88" s="198" t="n">
        <v>45897</v>
      </c>
      <c r="K88" s="197" t="s">
        <v>28</v>
      </c>
      <c r="L88" s="199" t="n">
        <v>3</v>
      </c>
      <c r="M88" s="5"/>
      <c r="T88" s="100"/>
      <c r="U88" s="7"/>
    </row>
    <row r="89" s="2" customFormat="true" ht="15" hidden="false" customHeight="false" outlineLevel="0" collapsed="false">
      <c r="A89" s="147"/>
      <c r="G89" s="148"/>
      <c r="I89" s="197" t="s">
        <v>44</v>
      </c>
      <c r="J89" s="198" t="n">
        <v>45897</v>
      </c>
      <c r="K89" s="197" t="s">
        <v>28</v>
      </c>
      <c r="L89" s="199" t="n">
        <v>2</v>
      </c>
      <c r="M89" s="5"/>
      <c r="T89" s="78"/>
      <c r="U89" s="7"/>
    </row>
    <row r="90" s="2" customFormat="true" ht="15" hidden="false" customHeight="false" outlineLevel="0" collapsed="false">
      <c r="A90" s="147"/>
      <c r="G90" s="148"/>
      <c r="I90" s="197" t="s">
        <v>45</v>
      </c>
      <c r="J90" s="198" t="n">
        <v>45897</v>
      </c>
      <c r="K90" s="197" t="s">
        <v>28</v>
      </c>
      <c r="L90" s="199"/>
      <c r="M90" s="5"/>
      <c r="T90" s="100"/>
      <c r="U90" s="7"/>
    </row>
    <row r="91" s="2" customFormat="true" ht="15" hidden="false" customHeight="false" outlineLevel="0" collapsed="false">
      <c r="A91" s="147"/>
      <c r="G91" s="148"/>
      <c r="I91" s="197" t="s">
        <v>46</v>
      </c>
      <c r="J91" s="198" t="n">
        <v>45897</v>
      </c>
      <c r="K91" s="197" t="s">
        <v>28</v>
      </c>
      <c r="L91" s="199"/>
      <c r="M91" s="5"/>
      <c r="T91" s="78"/>
      <c r="U91" s="7"/>
    </row>
    <row r="92" s="2" customFormat="true" ht="15" hidden="false" customHeight="false" outlineLevel="0" collapsed="false">
      <c r="A92" s="167"/>
      <c r="B92" s="168"/>
      <c r="C92" s="168"/>
      <c r="D92" s="168"/>
      <c r="E92" s="168"/>
      <c r="F92" s="168"/>
      <c r="G92" s="169"/>
      <c r="I92" s="32" t="s">
        <v>12</v>
      </c>
      <c r="J92" s="33" t="n">
        <v>46093</v>
      </c>
      <c r="K92" s="32" t="s">
        <v>13</v>
      </c>
      <c r="L92" s="34"/>
      <c r="M92" s="5"/>
      <c r="T92" s="100"/>
      <c r="U92" s="7"/>
    </row>
    <row r="93" s="2" customFormat="true" ht="15" hidden="false" customHeight="false" outlineLevel="0" collapsed="false">
      <c r="I93" s="32" t="s">
        <v>17</v>
      </c>
      <c r="J93" s="33" t="n">
        <v>46093</v>
      </c>
      <c r="K93" s="32" t="s">
        <v>13</v>
      </c>
      <c r="L93" s="34" t="n">
        <v>4.07</v>
      </c>
      <c r="M93" s="5"/>
      <c r="T93" s="78"/>
      <c r="U93" s="7"/>
    </row>
    <row r="94" s="2" customFormat="true" ht="15" hidden="false" customHeight="false" outlineLevel="0" collapsed="false">
      <c r="I94" s="32" t="s">
        <v>20</v>
      </c>
      <c r="J94" s="33" t="n">
        <v>46093</v>
      </c>
      <c r="K94" s="32" t="s">
        <v>13</v>
      </c>
      <c r="L94" s="34" t="n">
        <v>3.88</v>
      </c>
      <c r="M94" s="5"/>
      <c r="T94" s="100"/>
      <c r="U94" s="7"/>
    </row>
    <row r="95" s="2" customFormat="true" ht="15" hidden="false" customHeight="false" outlineLevel="0" collapsed="false">
      <c r="I95" s="32" t="s">
        <v>19</v>
      </c>
      <c r="J95" s="33" t="n">
        <v>46093</v>
      </c>
      <c r="K95" s="32" t="s">
        <v>13</v>
      </c>
      <c r="L95" s="34" t="n">
        <v>4.33</v>
      </c>
      <c r="M95" s="5"/>
      <c r="T95" s="78"/>
      <c r="U95" s="7"/>
    </row>
    <row r="96" s="2" customFormat="true" ht="15" hidden="false" customHeight="false" outlineLevel="0" collapsed="false">
      <c r="I96" s="32" t="s">
        <v>24</v>
      </c>
      <c r="J96" s="33" t="n">
        <v>46093</v>
      </c>
      <c r="K96" s="32" t="s">
        <v>13</v>
      </c>
      <c r="L96" s="34" t="n">
        <v>5.41</v>
      </c>
      <c r="M96" s="5"/>
      <c r="T96" s="39"/>
      <c r="U96" s="7"/>
    </row>
    <row r="97" s="2" customFormat="true" ht="15" hidden="false" customHeight="false" outlineLevel="0" collapsed="false">
      <c r="I97" s="32" t="s">
        <v>27</v>
      </c>
      <c r="J97" s="33" t="n">
        <v>46093</v>
      </c>
      <c r="K97" s="32" t="s">
        <v>13</v>
      </c>
      <c r="L97" s="34" t="n">
        <v>4.64</v>
      </c>
      <c r="M97" s="5"/>
      <c r="T97" s="108"/>
      <c r="U97" s="7"/>
    </row>
    <row r="98" s="2" customFormat="true" ht="15" hidden="false" customHeight="false" outlineLevel="0" collapsed="false">
      <c r="I98" s="32" t="s">
        <v>29</v>
      </c>
      <c r="J98" s="33" t="n">
        <v>46093</v>
      </c>
      <c r="K98" s="32" t="s">
        <v>13</v>
      </c>
      <c r="L98" s="34"/>
      <c r="M98" s="5"/>
      <c r="T98" s="109"/>
      <c r="U98" s="7"/>
    </row>
    <row r="99" s="2" customFormat="true" ht="15" hidden="false" customHeight="false" outlineLevel="0" collapsed="false">
      <c r="I99" s="32" t="s">
        <v>30</v>
      </c>
      <c r="J99" s="33" t="n">
        <v>46093</v>
      </c>
      <c r="K99" s="32" t="s">
        <v>13</v>
      </c>
      <c r="L99" s="34" t="n">
        <v>3.64</v>
      </c>
      <c r="M99" s="5"/>
      <c r="T99" s="108"/>
      <c r="U99" s="7"/>
    </row>
    <row r="100" s="2" customFormat="true" ht="15" hidden="false" customHeight="false" outlineLevel="0" collapsed="false">
      <c r="I100" s="32" t="s">
        <v>32</v>
      </c>
      <c r="J100" s="33" t="n">
        <v>46093</v>
      </c>
      <c r="K100" s="32" t="s">
        <v>13</v>
      </c>
      <c r="L100" s="34"/>
      <c r="M100" s="5"/>
      <c r="T100" s="109"/>
      <c r="U100" s="7"/>
    </row>
    <row r="101" s="2" customFormat="true" ht="15" hidden="false" customHeight="false" outlineLevel="0" collapsed="false">
      <c r="I101" s="32" t="s">
        <v>38</v>
      </c>
      <c r="J101" s="33" t="n">
        <v>46093</v>
      </c>
      <c r="K101" s="32" t="s">
        <v>13</v>
      </c>
      <c r="L101" s="34"/>
      <c r="M101" s="5"/>
      <c r="T101" s="78"/>
      <c r="U101" s="7"/>
    </row>
    <row r="102" s="2" customFormat="true" ht="15" hidden="false" customHeight="false" outlineLevel="0" collapsed="false">
      <c r="I102" s="32" t="s">
        <v>39</v>
      </c>
      <c r="J102" s="33" t="n">
        <v>46093</v>
      </c>
      <c r="K102" s="32" t="s">
        <v>13</v>
      </c>
      <c r="L102" s="34" t="n">
        <v>3.99</v>
      </c>
      <c r="M102" s="5"/>
      <c r="T102" s="100"/>
      <c r="U102" s="7"/>
    </row>
    <row r="103" s="2" customFormat="true" ht="15" hidden="false" customHeight="false" outlineLevel="0" collapsed="false">
      <c r="I103" s="32" t="s">
        <v>40</v>
      </c>
      <c r="J103" s="33" t="n">
        <v>46093</v>
      </c>
      <c r="K103" s="32" t="s">
        <v>13</v>
      </c>
      <c r="L103" s="34" t="n">
        <v>4.81</v>
      </c>
      <c r="M103" s="5"/>
      <c r="T103" s="78"/>
      <c r="U103" s="7"/>
    </row>
    <row r="104" s="2" customFormat="true" ht="15" hidden="false" customHeight="false" outlineLevel="0" collapsed="false">
      <c r="I104" s="32" t="s">
        <v>41</v>
      </c>
      <c r="J104" s="33" t="n">
        <v>46093</v>
      </c>
      <c r="K104" s="32" t="s">
        <v>13</v>
      </c>
      <c r="L104" s="34" t="n">
        <v>4.16</v>
      </c>
      <c r="M104" s="5"/>
      <c r="T104" s="100"/>
      <c r="U104" s="7"/>
    </row>
    <row r="105" s="2" customFormat="true" ht="15" hidden="false" customHeight="false" outlineLevel="0" collapsed="false">
      <c r="I105" s="32" t="s">
        <v>42</v>
      </c>
      <c r="J105" s="33" t="n">
        <v>46093</v>
      </c>
      <c r="K105" s="32" t="s">
        <v>13</v>
      </c>
      <c r="L105" s="34" t="n">
        <v>4.39</v>
      </c>
      <c r="M105" s="5"/>
      <c r="T105" s="78"/>
      <c r="U105" s="7"/>
    </row>
    <row r="106" s="2" customFormat="true" ht="15" hidden="false" customHeight="false" outlineLevel="0" collapsed="false">
      <c r="I106" s="32" t="s">
        <v>43</v>
      </c>
      <c r="J106" s="33" t="n">
        <v>46093</v>
      </c>
      <c r="K106" s="32" t="s">
        <v>13</v>
      </c>
      <c r="L106" s="34"/>
      <c r="M106" s="5"/>
      <c r="T106" s="100"/>
      <c r="U106" s="7"/>
    </row>
    <row r="107" s="2" customFormat="true" ht="15" hidden="false" customHeight="false" outlineLevel="0" collapsed="false">
      <c r="I107" s="32" t="s">
        <v>44</v>
      </c>
      <c r="J107" s="33" t="n">
        <v>46093</v>
      </c>
      <c r="K107" s="32" t="s">
        <v>13</v>
      </c>
      <c r="L107" s="34" t="n">
        <v>4.17</v>
      </c>
      <c r="M107" s="5"/>
      <c r="T107" s="78"/>
      <c r="U107" s="7"/>
    </row>
    <row r="108" s="2" customFormat="true" ht="15" hidden="false" customHeight="false" outlineLevel="0" collapsed="false">
      <c r="I108" s="32" t="s">
        <v>45</v>
      </c>
      <c r="J108" s="33" t="n">
        <v>46093</v>
      </c>
      <c r="K108" s="32" t="s">
        <v>13</v>
      </c>
      <c r="L108" s="34" t="n">
        <v>4.78</v>
      </c>
      <c r="M108" s="5"/>
      <c r="T108" s="100"/>
      <c r="U108" s="7"/>
    </row>
    <row r="109" s="2" customFormat="true" ht="15" hidden="false" customHeight="false" outlineLevel="0" collapsed="false">
      <c r="I109" s="32" t="s">
        <v>46</v>
      </c>
      <c r="J109" s="33" t="n">
        <v>46093</v>
      </c>
      <c r="K109" s="32" t="s">
        <v>13</v>
      </c>
      <c r="L109" s="34" t="n">
        <v>4.43</v>
      </c>
      <c r="M109" s="5"/>
      <c r="T109" s="78"/>
      <c r="U109" s="7"/>
    </row>
    <row r="110" s="2" customFormat="true" ht="15" hidden="false" customHeight="false" outlineLevel="0" collapsed="false">
      <c r="I110" s="32" t="s">
        <v>47</v>
      </c>
      <c r="J110" s="33" t="n">
        <v>46093</v>
      </c>
      <c r="K110" s="32" t="s">
        <v>13</v>
      </c>
      <c r="L110" s="34" t="n">
        <v>3.99</v>
      </c>
      <c r="M110" s="5"/>
      <c r="T110" s="100"/>
      <c r="U110" s="7"/>
    </row>
    <row r="111" s="2" customFormat="true" ht="15" hidden="false" customHeight="false" outlineLevel="0" collapsed="false">
      <c r="I111" s="32" t="s">
        <v>48</v>
      </c>
      <c r="J111" s="33" t="n">
        <v>46093</v>
      </c>
      <c r="K111" s="32" t="s">
        <v>13</v>
      </c>
      <c r="L111" s="34" t="n">
        <v>4.12</v>
      </c>
      <c r="M111" s="5"/>
      <c r="T111" s="78"/>
      <c r="U111" s="7"/>
    </row>
    <row r="112" s="2" customFormat="true" ht="15" hidden="false" customHeight="false" outlineLevel="0" collapsed="false">
      <c r="I112" s="32" t="s">
        <v>49</v>
      </c>
      <c r="J112" s="33" t="n">
        <v>46093</v>
      </c>
      <c r="K112" s="32" t="s">
        <v>13</v>
      </c>
      <c r="L112" s="34" t="n">
        <v>4.51</v>
      </c>
      <c r="M112" s="5"/>
      <c r="T112" s="39"/>
      <c r="U112" s="7"/>
    </row>
    <row r="113" s="2" customFormat="true" ht="15" hidden="false" customHeight="false" outlineLevel="0" collapsed="false">
      <c r="I113" s="32" t="s">
        <v>50</v>
      </c>
      <c r="J113" s="33" t="n">
        <v>46093</v>
      </c>
      <c r="K113" s="32" t="s">
        <v>13</v>
      </c>
      <c r="L113" s="34" t="n">
        <v>4.01</v>
      </c>
      <c r="M113" s="5"/>
      <c r="T113" s="108"/>
      <c r="U113" s="7"/>
    </row>
    <row r="114" s="2" customFormat="true" ht="15" hidden="false" customHeight="false" outlineLevel="0" collapsed="false">
      <c r="I114" s="32" t="s">
        <v>51</v>
      </c>
      <c r="J114" s="33" t="n">
        <v>46093</v>
      </c>
      <c r="K114" s="32" t="s">
        <v>13</v>
      </c>
      <c r="L114" s="34" t="n">
        <v>4.37</v>
      </c>
      <c r="M114" s="5"/>
      <c r="T114" s="109"/>
      <c r="U114" s="7"/>
    </row>
    <row r="115" s="2" customFormat="true" ht="15" hidden="false" customHeight="false" outlineLevel="0" collapsed="false">
      <c r="I115" s="110" t="s">
        <v>12</v>
      </c>
      <c r="J115" s="111" t="n">
        <v>46093</v>
      </c>
      <c r="K115" s="110" t="s">
        <v>23</v>
      </c>
      <c r="L115" s="112"/>
      <c r="M115" s="5"/>
      <c r="T115" s="108"/>
      <c r="U115" s="7"/>
    </row>
    <row r="116" s="2" customFormat="true" ht="15" hidden="false" customHeight="false" outlineLevel="0" collapsed="false">
      <c r="I116" s="110" t="s">
        <v>17</v>
      </c>
      <c r="J116" s="111" t="n">
        <v>46093</v>
      </c>
      <c r="K116" s="110" t="s">
        <v>23</v>
      </c>
      <c r="L116" s="112" t="n">
        <v>12.78</v>
      </c>
      <c r="M116" s="5"/>
      <c r="T116" s="109"/>
      <c r="U116" s="7"/>
    </row>
    <row r="117" s="2" customFormat="true" ht="15" hidden="false" customHeight="false" outlineLevel="0" collapsed="false">
      <c r="I117" s="110" t="s">
        <v>20</v>
      </c>
      <c r="J117" s="111" t="n">
        <v>46093</v>
      </c>
      <c r="K117" s="110" t="s">
        <v>23</v>
      </c>
      <c r="L117" s="112"/>
      <c r="M117" s="5"/>
      <c r="T117" s="78"/>
      <c r="U117" s="7"/>
    </row>
    <row r="118" s="2" customFormat="true" ht="15" hidden="false" customHeight="false" outlineLevel="0" collapsed="false">
      <c r="I118" s="110" t="s">
        <v>19</v>
      </c>
      <c r="J118" s="111" t="n">
        <v>46093</v>
      </c>
      <c r="K118" s="110" t="s">
        <v>23</v>
      </c>
      <c r="L118" s="112" t="n">
        <v>12.18</v>
      </c>
      <c r="M118" s="5"/>
      <c r="T118" s="100"/>
      <c r="U118" s="7"/>
    </row>
    <row r="119" s="2" customFormat="true" ht="15" hidden="false" customHeight="false" outlineLevel="0" collapsed="false">
      <c r="I119" s="110" t="s">
        <v>24</v>
      </c>
      <c r="J119" s="111" t="n">
        <v>46093</v>
      </c>
      <c r="K119" s="110" t="s">
        <v>23</v>
      </c>
      <c r="L119" s="112" t="n">
        <v>13.56</v>
      </c>
      <c r="M119" s="5"/>
      <c r="T119" s="78"/>
      <c r="U119" s="7"/>
    </row>
    <row r="120" s="2" customFormat="true" ht="15" hidden="false" customHeight="false" outlineLevel="0" collapsed="false">
      <c r="I120" s="110" t="s">
        <v>27</v>
      </c>
      <c r="J120" s="111" t="n">
        <v>46093</v>
      </c>
      <c r="K120" s="110" t="s">
        <v>23</v>
      </c>
      <c r="L120" s="112" t="n">
        <v>16.18</v>
      </c>
      <c r="M120" s="5"/>
      <c r="T120" s="100"/>
      <c r="U120" s="7"/>
    </row>
    <row r="121" s="2" customFormat="true" ht="15" hidden="false" customHeight="false" outlineLevel="0" collapsed="false">
      <c r="I121" s="110" t="s">
        <v>29</v>
      </c>
      <c r="J121" s="111" t="n">
        <v>46093</v>
      </c>
      <c r="K121" s="110" t="s">
        <v>23</v>
      </c>
      <c r="L121" s="112"/>
      <c r="M121" s="5"/>
      <c r="T121" s="78"/>
      <c r="U121" s="7"/>
    </row>
    <row r="122" s="2" customFormat="true" ht="15" hidden="false" customHeight="false" outlineLevel="0" collapsed="false">
      <c r="I122" s="110" t="s">
        <v>30</v>
      </c>
      <c r="J122" s="111" t="n">
        <v>46093</v>
      </c>
      <c r="K122" s="110" t="s">
        <v>23</v>
      </c>
      <c r="L122" s="112" t="n">
        <v>14.44</v>
      </c>
      <c r="M122" s="5"/>
      <c r="T122" s="100"/>
      <c r="U122" s="7"/>
    </row>
    <row r="123" s="2" customFormat="true" ht="15" hidden="false" customHeight="false" outlineLevel="0" collapsed="false">
      <c r="I123" s="110" t="s">
        <v>32</v>
      </c>
      <c r="J123" s="111" t="n">
        <v>46093</v>
      </c>
      <c r="K123" s="110" t="s">
        <v>23</v>
      </c>
      <c r="L123" s="112"/>
      <c r="M123" s="5"/>
      <c r="T123" s="78"/>
      <c r="U123" s="7"/>
    </row>
    <row r="124" s="2" customFormat="true" ht="15" hidden="false" customHeight="false" outlineLevel="0" collapsed="false">
      <c r="I124" s="110" t="s">
        <v>38</v>
      </c>
      <c r="J124" s="111" t="n">
        <v>46093</v>
      </c>
      <c r="K124" s="110" t="s">
        <v>23</v>
      </c>
      <c r="L124" s="112"/>
      <c r="M124" s="5"/>
      <c r="T124" s="100"/>
      <c r="U124" s="7"/>
    </row>
    <row r="125" s="2" customFormat="true" ht="15" hidden="false" customHeight="false" outlineLevel="0" collapsed="false">
      <c r="I125" s="110" t="s">
        <v>39</v>
      </c>
      <c r="J125" s="111" t="n">
        <v>46093</v>
      </c>
      <c r="K125" s="110" t="s">
        <v>23</v>
      </c>
      <c r="L125" s="112" t="n">
        <v>14.93</v>
      </c>
      <c r="M125" s="5"/>
      <c r="T125" s="78"/>
      <c r="U125" s="7"/>
    </row>
    <row r="126" s="2" customFormat="true" ht="15" hidden="false" customHeight="false" outlineLevel="0" collapsed="false">
      <c r="I126" s="110" t="s">
        <v>40</v>
      </c>
      <c r="J126" s="111" t="n">
        <v>46093</v>
      </c>
      <c r="K126" s="110" t="s">
        <v>23</v>
      </c>
      <c r="L126" s="112" t="n">
        <v>14.69</v>
      </c>
      <c r="M126" s="5"/>
      <c r="T126" s="100"/>
      <c r="U126" s="7"/>
    </row>
    <row r="127" s="2" customFormat="true" ht="15" hidden="false" customHeight="false" outlineLevel="0" collapsed="false">
      <c r="I127" s="110" t="s">
        <v>41</v>
      </c>
      <c r="J127" s="111" t="n">
        <v>46093</v>
      </c>
      <c r="K127" s="110" t="s">
        <v>23</v>
      </c>
      <c r="L127" s="112" t="n">
        <v>11.83</v>
      </c>
      <c r="M127" s="5"/>
      <c r="T127" s="78"/>
      <c r="U127" s="7"/>
    </row>
    <row r="128" s="2" customFormat="true" ht="15" hidden="false" customHeight="false" outlineLevel="0" collapsed="false">
      <c r="I128" s="110" t="s">
        <v>42</v>
      </c>
      <c r="J128" s="111" t="n">
        <v>46093</v>
      </c>
      <c r="K128" s="110" t="s">
        <v>23</v>
      </c>
      <c r="L128" s="112" t="n">
        <v>12.79</v>
      </c>
      <c r="M128" s="5"/>
      <c r="T128" s="39"/>
      <c r="U128" s="7"/>
    </row>
    <row r="129" s="2" customFormat="true" ht="15" hidden="false" customHeight="false" outlineLevel="0" collapsed="false">
      <c r="I129" s="110" t="s">
        <v>43</v>
      </c>
      <c r="J129" s="111" t="n">
        <v>46093</v>
      </c>
      <c r="K129" s="110" t="s">
        <v>23</v>
      </c>
      <c r="L129" s="112"/>
      <c r="M129" s="5"/>
      <c r="T129" s="108"/>
      <c r="U129" s="7"/>
    </row>
    <row r="130" s="2" customFormat="true" ht="15" hidden="false" customHeight="false" outlineLevel="0" collapsed="false">
      <c r="I130" s="110" t="s">
        <v>44</v>
      </c>
      <c r="J130" s="111" t="n">
        <v>46093</v>
      </c>
      <c r="K130" s="110" t="s">
        <v>23</v>
      </c>
      <c r="L130" s="112" t="n">
        <v>13.63</v>
      </c>
      <c r="M130" s="5"/>
      <c r="T130" s="109"/>
      <c r="U130" s="7"/>
    </row>
    <row r="131" s="2" customFormat="true" ht="15" hidden="false" customHeight="false" outlineLevel="0" collapsed="false">
      <c r="I131" s="110" t="s">
        <v>45</v>
      </c>
      <c r="J131" s="111" t="n">
        <v>46093</v>
      </c>
      <c r="K131" s="110" t="s">
        <v>23</v>
      </c>
      <c r="L131" s="112" t="n">
        <v>13.4</v>
      </c>
      <c r="M131" s="5"/>
      <c r="T131" s="108"/>
      <c r="U131" s="7"/>
    </row>
    <row r="132" s="2" customFormat="true" ht="15" hidden="false" customHeight="false" outlineLevel="0" collapsed="false">
      <c r="I132" s="110" t="s">
        <v>46</v>
      </c>
      <c r="J132" s="111" t="n">
        <v>46093</v>
      </c>
      <c r="K132" s="110" t="s">
        <v>23</v>
      </c>
      <c r="L132" s="112" t="n">
        <v>17.99</v>
      </c>
      <c r="M132" s="5"/>
      <c r="T132" s="109"/>
      <c r="U132" s="7"/>
    </row>
    <row r="133" s="2" customFormat="true" ht="15" hidden="false" customHeight="false" outlineLevel="0" collapsed="false">
      <c r="I133" s="110" t="s">
        <v>47</v>
      </c>
      <c r="J133" s="111" t="n">
        <v>46093</v>
      </c>
      <c r="K133" s="110" t="s">
        <v>23</v>
      </c>
      <c r="L133" s="112" t="n">
        <v>14.97</v>
      </c>
      <c r="M133" s="5"/>
      <c r="T133" s="78"/>
      <c r="U133" s="7"/>
    </row>
    <row r="134" s="2" customFormat="true" ht="15" hidden="false" customHeight="false" outlineLevel="0" collapsed="false">
      <c r="I134" s="110" t="s">
        <v>48</v>
      </c>
      <c r="J134" s="111" t="n">
        <v>46093</v>
      </c>
      <c r="K134" s="110" t="s">
        <v>23</v>
      </c>
      <c r="L134" s="112" t="n">
        <v>16.09</v>
      </c>
      <c r="M134" s="5"/>
      <c r="T134" s="100"/>
      <c r="U134" s="7"/>
    </row>
    <row r="135" s="2" customFormat="true" ht="15" hidden="false" customHeight="false" outlineLevel="0" collapsed="false">
      <c r="I135" s="110" t="s">
        <v>49</v>
      </c>
      <c r="J135" s="111" t="n">
        <v>46093</v>
      </c>
      <c r="K135" s="110" t="s">
        <v>23</v>
      </c>
      <c r="L135" s="112" t="n">
        <v>14.68</v>
      </c>
      <c r="M135" s="5"/>
      <c r="T135" s="78"/>
      <c r="U135" s="7"/>
    </row>
    <row r="136" s="2" customFormat="true" ht="15" hidden="false" customHeight="false" outlineLevel="0" collapsed="false">
      <c r="I136" s="110" t="s">
        <v>50</v>
      </c>
      <c r="J136" s="111" t="n">
        <v>46093</v>
      </c>
      <c r="K136" s="110" t="s">
        <v>23</v>
      </c>
      <c r="L136" s="112" t="n">
        <v>13.56</v>
      </c>
      <c r="M136" s="5"/>
      <c r="T136" s="100"/>
      <c r="U136" s="7"/>
    </row>
    <row r="137" s="2" customFormat="true" ht="15" hidden="false" customHeight="false" outlineLevel="0" collapsed="false">
      <c r="I137" s="110" t="s">
        <v>51</v>
      </c>
      <c r="J137" s="111" t="n">
        <v>46093</v>
      </c>
      <c r="K137" s="110" t="s">
        <v>23</v>
      </c>
      <c r="L137" s="112" t="n">
        <v>14.23</v>
      </c>
      <c r="M137" s="5"/>
      <c r="T137" s="78"/>
      <c r="U137" s="7"/>
    </row>
    <row r="138" s="2" customFormat="true" ht="15" hidden="false" customHeight="false" outlineLevel="0" collapsed="false">
      <c r="I138" s="200" t="s">
        <v>12</v>
      </c>
      <c r="J138" s="201" t="n">
        <v>46093</v>
      </c>
      <c r="K138" s="200" t="s">
        <v>25</v>
      </c>
      <c r="L138" s="202"/>
      <c r="M138" s="5"/>
      <c r="T138" s="100"/>
      <c r="U138" s="7"/>
    </row>
    <row r="139" s="2" customFormat="true" ht="15" hidden="false" customHeight="false" outlineLevel="0" collapsed="false">
      <c r="I139" s="200" t="s">
        <v>17</v>
      </c>
      <c r="J139" s="201" t="n">
        <v>46093</v>
      </c>
      <c r="K139" s="200" t="s">
        <v>25</v>
      </c>
      <c r="L139" s="202" t="n">
        <v>37</v>
      </c>
      <c r="M139" s="5"/>
      <c r="T139" s="78"/>
      <c r="U139" s="7"/>
    </row>
    <row r="140" s="2" customFormat="true" ht="15" hidden="false" customHeight="false" outlineLevel="0" collapsed="false">
      <c r="I140" s="200" t="s">
        <v>20</v>
      </c>
      <c r="J140" s="201" t="n">
        <v>46093</v>
      </c>
      <c r="K140" s="200" t="s">
        <v>25</v>
      </c>
      <c r="L140" s="202"/>
      <c r="M140" s="5"/>
      <c r="T140" s="100"/>
      <c r="U140" s="7"/>
    </row>
    <row r="141" s="2" customFormat="true" ht="15" hidden="false" customHeight="false" outlineLevel="0" collapsed="false">
      <c r="I141" s="200" t="s">
        <v>19</v>
      </c>
      <c r="J141" s="201" t="n">
        <v>46093</v>
      </c>
      <c r="K141" s="200" t="s">
        <v>25</v>
      </c>
      <c r="L141" s="202" t="n">
        <v>43</v>
      </c>
      <c r="M141" s="5"/>
      <c r="T141" s="78"/>
      <c r="U141" s="7"/>
    </row>
    <row r="142" s="2" customFormat="true" ht="15" hidden="false" customHeight="false" outlineLevel="0" collapsed="false">
      <c r="I142" s="200" t="s">
        <v>24</v>
      </c>
      <c r="J142" s="201" t="n">
        <v>46093</v>
      </c>
      <c r="K142" s="200" t="s">
        <v>25</v>
      </c>
      <c r="L142" s="202" t="n">
        <v>65</v>
      </c>
      <c r="M142" s="5"/>
      <c r="T142" s="100"/>
      <c r="U142" s="7"/>
    </row>
    <row r="143" s="2" customFormat="true" ht="15" hidden="false" customHeight="false" outlineLevel="0" collapsed="false">
      <c r="I143" s="200" t="s">
        <v>27</v>
      </c>
      <c r="J143" s="201" t="n">
        <v>46093</v>
      </c>
      <c r="K143" s="200" t="s">
        <v>25</v>
      </c>
      <c r="L143" s="202" t="n">
        <v>24</v>
      </c>
      <c r="M143" s="5"/>
      <c r="T143" s="78"/>
      <c r="U143" s="7"/>
    </row>
    <row r="144" s="2" customFormat="true" ht="15" hidden="false" customHeight="false" outlineLevel="0" collapsed="false">
      <c r="I144" s="200" t="s">
        <v>29</v>
      </c>
      <c r="J144" s="201" t="n">
        <v>46093</v>
      </c>
      <c r="K144" s="200" t="s">
        <v>25</v>
      </c>
      <c r="L144" s="202"/>
      <c r="M144" s="5"/>
      <c r="T144" s="39"/>
      <c r="U144" s="7"/>
    </row>
    <row r="145" s="2" customFormat="true" ht="15" hidden="false" customHeight="false" outlineLevel="0" collapsed="false">
      <c r="I145" s="200" t="s">
        <v>30</v>
      </c>
      <c r="J145" s="201" t="n">
        <v>46093</v>
      </c>
      <c r="K145" s="200" t="s">
        <v>25</v>
      </c>
      <c r="L145" s="202" t="n">
        <v>34</v>
      </c>
      <c r="M145" s="5"/>
      <c r="T145" s="108"/>
      <c r="U145" s="7"/>
    </row>
    <row r="146" s="2" customFormat="true" ht="15" hidden="false" customHeight="false" outlineLevel="0" collapsed="false">
      <c r="I146" s="200" t="s">
        <v>32</v>
      </c>
      <c r="J146" s="201" t="n">
        <v>46093</v>
      </c>
      <c r="K146" s="200" t="s">
        <v>25</v>
      </c>
      <c r="L146" s="202"/>
      <c r="M146" s="5"/>
      <c r="T146" s="109"/>
      <c r="U146" s="7"/>
    </row>
    <row r="147" s="2" customFormat="true" ht="15" hidden="false" customHeight="false" outlineLevel="0" collapsed="false">
      <c r="I147" s="200" t="s">
        <v>38</v>
      </c>
      <c r="J147" s="201" t="n">
        <v>46093</v>
      </c>
      <c r="K147" s="200" t="s">
        <v>25</v>
      </c>
      <c r="L147" s="202"/>
      <c r="M147" s="5"/>
      <c r="T147" s="108"/>
      <c r="U147" s="7"/>
    </row>
    <row r="148" s="2" customFormat="true" ht="15" hidden="false" customHeight="false" outlineLevel="0" collapsed="false">
      <c r="I148" s="200" t="s">
        <v>39</v>
      </c>
      <c r="J148" s="201" t="n">
        <v>46093</v>
      </c>
      <c r="K148" s="200" t="s">
        <v>25</v>
      </c>
      <c r="L148" s="202" t="n">
        <v>27</v>
      </c>
      <c r="M148" s="5"/>
      <c r="T148" s="109"/>
      <c r="U148" s="7"/>
    </row>
    <row r="149" s="2" customFormat="true" ht="15" hidden="false" customHeight="false" outlineLevel="0" collapsed="false">
      <c r="I149" s="200" t="s">
        <v>40</v>
      </c>
      <c r="J149" s="201" t="n">
        <v>46093</v>
      </c>
      <c r="K149" s="200" t="s">
        <v>25</v>
      </c>
      <c r="L149" s="202" t="n">
        <v>80</v>
      </c>
      <c r="M149" s="5"/>
      <c r="T149" s="78"/>
      <c r="U149" s="7"/>
    </row>
    <row r="150" s="2" customFormat="true" ht="15" hidden="false" customHeight="false" outlineLevel="0" collapsed="false">
      <c r="I150" s="200" t="s">
        <v>41</v>
      </c>
      <c r="J150" s="201" t="n">
        <v>46093</v>
      </c>
      <c r="K150" s="200" t="s">
        <v>25</v>
      </c>
      <c r="L150" s="202" t="n">
        <v>26</v>
      </c>
      <c r="M150" s="5"/>
      <c r="T150" s="100"/>
      <c r="U150" s="7"/>
    </row>
    <row r="151" s="2" customFormat="true" ht="15" hidden="false" customHeight="false" outlineLevel="0" collapsed="false">
      <c r="I151" s="200" t="s">
        <v>42</v>
      </c>
      <c r="J151" s="201" t="n">
        <v>46093</v>
      </c>
      <c r="K151" s="200" t="s">
        <v>25</v>
      </c>
      <c r="L151" s="202" t="n">
        <v>40</v>
      </c>
      <c r="M151" s="5"/>
      <c r="T151" s="78"/>
      <c r="U151" s="7"/>
    </row>
    <row r="152" s="2" customFormat="true" ht="15" hidden="false" customHeight="false" outlineLevel="0" collapsed="false">
      <c r="I152" s="200" t="s">
        <v>43</v>
      </c>
      <c r="J152" s="201" t="n">
        <v>46093</v>
      </c>
      <c r="K152" s="200" t="s">
        <v>25</v>
      </c>
      <c r="L152" s="202"/>
      <c r="M152" s="5"/>
      <c r="T152" s="100"/>
      <c r="U152" s="7"/>
    </row>
    <row r="153" s="2" customFormat="true" ht="15" hidden="false" customHeight="false" outlineLevel="0" collapsed="false">
      <c r="I153" s="200" t="s">
        <v>44</v>
      </c>
      <c r="J153" s="201" t="n">
        <v>46093</v>
      </c>
      <c r="K153" s="200" t="s">
        <v>25</v>
      </c>
      <c r="L153" s="202"/>
      <c r="M153" s="5"/>
      <c r="T153" s="78"/>
      <c r="U153" s="7"/>
    </row>
    <row r="154" s="2" customFormat="true" ht="15" hidden="false" customHeight="false" outlineLevel="0" collapsed="false">
      <c r="I154" s="200" t="s">
        <v>45</v>
      </c>
      <c r="J154" s="201" t="n">
        <v>46093</v>
      </c>
      <c r="K154" s="200" t="s">
        <v>25</v>
      </c>
      <c r="L154" s="202" t="n">
        <v>37</v>
      </c>
      <c r="M154" s="5"/>
      <c r="T154" s="100"/>
      <c r="U154" s="7"/>
    </row>
    <row r="155" s="2" customFormat="true" ht="15" hidden="false" customHeight="false" outlineLevel="0" collapsed="false">
      <c r="I155" s="200" t="s">
        <v>46</v>
      </c>
      <c r="J155" s="201" t="n">
        <v>46093</v>
      </c>
      <c r="K155" s="200" t="s">
        <v>25</v>
      </c>
      <c r="L155" s="202" t="n">
        <v>32</v>
      </c>
      <c r="M155" s="5"/>
      <c r="T155" s="78"/>
      <c r="U155" s="7"/>
    </row>
    <row r="156" s="2" customFormat="true" ht="15" hidden="false" customHeight="false" outlineLevel="0" collapsed="false">
      <c r="I156" s="200" t="s">
        <v>47</v>
      </c>
      <c r="J156" s="201" t="n">
        <v>46093</v>
      </c>
      <c r="K156" s="200" t="s">
        <v>25</v>
      </c>
      <c r="L156" s="202" t="n">
        <v>13</v>
      </c>
      <c r="M156" s="5"/>
      <c r="T156" s="100"/>
      <c r="U156" s="7"/>
    </row>
    <row r="157" s="2" customFormat="true" ht="15" hidden="false" customHeight="false" outlineLevel="0" collapsed="false">
      <c r="I157" s="200" t="s">
        <v>48</v>
      </c>
      <c r="J157" s="201" t="n">
        <v>46093</v>
      </c>
      <c r="K157" s="200" t="s">
        <v>25</v>
      </c>
      <c r="L157" s="202" t="n">
        <v>4</v>
      </c>
      <c r="M157" s="5"/>
      <c r="T157" s="78"/>
      <c r="U157" s="7"/>
    </row>
    <row r="158" s="2" customFormat="true" ht="15" hidden="false" customHeight="false" outlineLevel="0" collapsed="false">
      <c r="I158" s="200" t="s">
        <v>49</v>
      </c>
      <c r="J158" s="201" t="n">
        <v>46093</v>
      </c>
      <c r="K158" s="200" t="s">
        <v>25</v>
      </c>
      <c r="L158" s="202" t="n">
        <v>11</v>
      </c>
      <c r="M158" s="5"/>
      <c r="T158" s="100"/>
      <c r="U158" s="7"/>
    </row>
    <row r="159" s="2" customFormat="true" ht="15" hidden="false" customHeight="false" outlineLevel="0" collapsed="false">
      <c r="I159" s="200" t="s">
        <v>50</v>
      </c>
      <c r="J159" s="201" t="n">
        <v>46093</v>
      </c>
      <c r="K159" s="200" t="s">
        <v>25</v>
      </c>
      <c r="L159" s="202" t="n">
        <v>18</v>
      </c>
      <c r="M159" s="5"/>
      <c r="T159" s="78"/>
      <c r="U159" s="7"/>
    </row>
    <row r="160" s="2" customFormat="true" ht="15" hidden="false" customHeight="false" outlineLevel="0" collapsed="false">
      <c r="I160" s="200" t="s">
        <v>51</v>
      </c>
      <c r="J160" s="201" t="n">
        <v>46093</v>
      </c>
      <c r="K160" s="200" t="s">
        <v>25</v>
      </c>
      <c r="L160" s="202" t="n">
        <v>4</v>
      </c>
      <c r="M160" s="5"/>
      <c r="T160" s="39"/>
      <c r="U160" s="7"/>
    </row>
    <row r="161" s="2" customFormat="true" ht="15" hidden="false" customHeight="false" outlineLevel="0" collapsed="false">
      <c r="I161" s="203" t="s">
        <v>12</v>
      </c>
      <c r="J161" s="204" t="n">
        <v>46093</v>
      </c>
      <c r="K161" s="203" t="s">
        <v>28</v>
      </c>
      <c r="L161" s="205"/>
      <c r="M161" s="5"/>
      <c r="T161" s="108"/>
      <c r="U161" s="7"/>
    </row>
    <row r="162" s="2" customFormat="true" ht="15" hidden="false" customHeight="false" outlineLevel="0" collapsed="false">
      <c r="I162" s="203" t="s">
        <v>17</v>
      </c>
      <c r="J162" s="204" t="n">
        <v>46093</v>
      </c>
      <c r="K162" s="203" t="s">
        <v>28</v>
      </c>
      <c r="L162" s="205" t="n">
        <v>10</v>
      </c>
      <c r="M162" s="5"/>
      <c r="T162" s="109"/>
      <c r="U162" s="7"/>
    </row>
    <row r="163" s="2" customFormat="true" ht="15" hidden="false" customHeight="false" outlineLevel="0" collapsed="false">
      <c r="I163" s="203" t="s">
        <v>20</v>
      </c>
      <c r="J163" s="204" t="n">
        <v>46093</v>
      </c>
      <c r="K163" s="203" t="s">
        <v>28</v>
      </c>
      <c r="L163" s="205"/>
      <c r="M163" s="5"/>
      <c r="T163" s="108"/>
      <c r="U163" s="7"/>
    </row>
    <row r="164" s="2" customFormat="true" ht="15" hidden="false" customHeight="false" outlineLevel="0" collapsed="false">
      <c r="I164" s="203" t="s">
        <v>19</v>
      </c>
      <c r="J164" s="204" t="n">
        <v>46093</v>
      </c>
      <c r="K164" s="203" t="s">
        <v>28</v>
      </c>
      <c r="L164" s="205" t="n">
        <v>9</v>
      </c>
      <c r="M164" s="5"/>
      <c r="T164" s="109"/>
      <c r="U164" s="7"/>
    </row>
    <row r="165" s="2" customFormat="true" ht="15" hidden="false" customHeight="false" outlineLevel="0" collapsed="false">
      <c r="I165" s="203" t="s">
        <v>24</v>
      </c>
      <c r="J165" s="204" t="n">
        <v>46093</v>
      </c>
      <c r="K165" s="203" t="s">
        <v>28</v>
      </c>
      <c r="L165" s="205" t="n">
        <v>27</v>
      </c>
      <c r="M165" s="5"/>
      <c r="T165" s="78"/>
      <c r="U165" s="7"/>
    </row>
    <row r="166" s="2" customFormat="true" ht="15" hidden="false" customHeight="false" outlineLevel="0" collapsed="false">
      <c r="I166" s="203" t="s">
        <v>27</v>
      </c>
      <c r="J166" s="204" t="n">
        <v>46093</v>
      </c>
      <c r="K166" s="203" t="s">
        <v>28</v>
      </c>
      <c r="L166" s="205" t="n">
        <v>5</v>
      </c>
      <c r="M166" s="5"/>
      <c r="T166" s="100"/>
      <c r="U166" s="7"/>
    </row>
    <row r="167" s="2" customFormat="true" ht="15" hidden="false" customHeight="false" outlineLevel="0" collapsed="false">
      <c r="I167" s="203" t="s">
        <v>29</v>
      </c>
      <c r="J167" s="204" t="n">
        <v>46093</v>
      </c>
      <c r="K167" s="203" t="s">
        <v>28</v>
      </c>
      <c r="L167" s="205"/>
      <c r="M167" s="5"/>
      <c r="T167" s="78"/>
      <c r="U167" s="7"/>
    </row>
    <row r="168" s="2" customFormat="true" ht="15" hidden="false" customHeight="false" outlineLevel="0" collapsed="false">
      <c r="I168" s="203" t="s">
        <v>30</v>
      </c>
      <c r="J168" s="204" t="n">
        <v>46093</v>
      </c>
      <c r="K168" s="203" t="s">
        <v>28</v>
      </c>
      <c r="L168" s="205" t="n">
        <v>25</v>
      </c>
      <c r="M168" s="5"/>
      <c r="T168" s="100"/>
      <c r="U168" s="7"/>
    </row>
    <row r="169" s="2" customFormat="true" ht="15" hidden="false" customHeight="false" outlineLevel="0" collapsed="false">
      <c r="I169" s="203" t="s">
        <v>32</v>
      </c>
      <c r="J169" s="204" t="n">
        <v>46093</v>
      </c>
      <c r="K169" s="203" t="s">
        <v>28</v>
      </c>
      <c r="L169" s="205"/>
      <c r="M169" s="5"/>
      <c r="T169" s="78"/>
      <c r="U169" s="7"/>
    </row>
    <row r="170" s="2" customFormat="true" ht="15" hidden="false" customHeight="false" outlineLevel="0" collapsed="false">
      <c r="I170" s="203" t="s">
        <v>38</v>
      </c>
      <c r="J170" s="204" t="n">
        <v>46093</v>
      </c>
      <c r="K170" s="203" t="s">
        <v>28</v>
      </c>
      <c r="L170" s="205"/>
      <c r="M170" s="5"/>
      <c r="T170" s="100"/>
      <c r="U170" s="7"/>
    </row>
    <row r="171" s="2" customFormat="true" ht="15" hidden="false" customHeight="false" outlineLevel="0" collapsed="false">
      <c r="I171" s="203" t="s">
        <v>39</v>
      </c>
      <c r="J171" s="204" t="n">
        <v>46093</v>
      </c>
      <c r="K171" s="203" t="s">
        <v>28</v>
      </c>
      <c r="L171" s="205" t="n">
        <v>14</v>
      </c>
      <c r="M171" s="5"/>
      <c r="T171" s="78"/>
      <c r="U171" s="7"/>
    </row>
    <row r="172" s="2" customFormat="true" ht="15" hidden="false" customHeight="false" outlineLevel="0" collapsed="false">
      <c r="I172" s="203" t="s">
        <v>40</v>
      </c>
      <c r="J172" s="204" t="n">
        <v>46093</v>
      </c>
      <c r="K172" s="203" t="s">
        <v>28</v>
      </c>
      <c r="L172" s="205" t="n">
        <v>11</v>
      </c>
      <c r="M172" s="5"/>
      <c r="T172" s="100"/>
      <c r="U172" s="7"/>
    </row>
    <row r="173" s="2" customFormat="true" ht="15" hidden="false" customHeight="false" outlineLevel="0" collapsed="false">
      <c r="I173" s="203" t="s">
        <v>41</v>
      </c>
      <c r="J173" s="204" t="n">
        <v>46093</v>
      </c>
      <c r="K173" s="203" t="s">
        <v>28</v>
      </c>
      <c r="L173" s="205" t="n">
        <v>7</v>
      </c>
      <c r="M173" s="5"/>
      <c r="T173" s="78"/>
      <c r="U173" s="7"/>
    </row>
    <row r="174" s="2" customFormat="true" ht="15" hidden="false" customHeight="false" outlineLevel="0" collapsed="false">
      <c r="I174" s="203" t="s">
        <v>42</v>
      </c>
      <c r="J174" s="204" t="n">
        <v>46093</v>
      </c>
      <c r="K174" s="203" t="s">
        <v>28</v>
      </c>
      <c r="L174" s="205" t="n">
        <v>11</v>
      </c>
      <c r="M174" s="5"/>
      <c r="T174" s="100"/>
      <c r="U174" s="7"/>
    </row>
    <row r="175" s="2" customFormat="true" ht="15" hidden="false" customHeight="false" outlineLevel="0" collapsed="false">
      <c r="I175" s="203" t="s">
        <v>43</v>
      </c>
      <c r="J175" s="204" t="n">
        <v>46093</v>
      </c>
      <c r="K175" s="203" t="s">
        <v>28</v>
      </c>
      <c r="L175" s="205"/>
      <c r="M175" s="5"/>
      <c r="T175" s="78"/>
      <c r="U175" s="7"/>
    </row>
    <row r="176" s="2" customFormat="true" ht="15" hidden="false" customHeight="false" outlineLevel="0" collapsed="false">
      <c r="I176" s="203" t="s">
        <v>44</v>
      </c>
      <c r="J176" s="204" t="n">
        <v>46093</v>
      </c>
      <c r="K176" s="203" t="s">
        <v>28</v>
      </c>
      <c r="L176" s="205"/>
      <c r="M176" s="5"/>
      <c r="T176" s="39"/>
      <c r="U176" s="7"/>
    </row>
    <row r="177" s="2" customFormat="true" ht="15" hidden="false" customHeight="false" outlineLevel="0" collapsed="false">
      <c r="I177" s="203" t="s">
        <v>45</v>
      </c>
      <c r="J177" s="204" t="n">
        <v>46093</v>
      </c>
      <c r="K177" s="203" t="s">
        <v>28</v>
      </c>
      <c r="L177" s="205" t="n">
        <v>5</v>
      </c>
      <c r="M177" s="5"/>
      <c r="T177" s="108"/>
      <c r="U177" s="7"/>
    </row>
    <row r="178" s="2" customFormat="true" ht="15" hidden="false" customHeight="false" outlineLevel="0" collapsed="false">
      <c r="I178" s="203" t="s">
        <v>46</v>
      </c>
      <c r="J178" s="204" t="n">
        <v>46093</v>
      </c>
      <c r="K178" s="203" t="s">
        <v>28</v>
      </c>
      <c r="L178" s="205" t="n">
        <v>6</v>
      </c>
      <c r="M178" s="5"/>
      <c r="T178" s="109"/>
      <c r="U178" s="7"/>
    </row>
    <row r="179" s="2" customFormat="true" ht="15" hidden="false" customHeight="false" outlineLevel="0" collapsed="false">
      <c r="I179" s="203" t="s">
        <v>47</v>
      </c>
      <c r="J179" s="204" t="n">
        <v>46093</v>
      </c>
      <c r="K179" s="203" t="s">
        <v>28</v>
      </c>
      <c r="L179" s="205" t="n">
        <v>5</v>
      </c>
      <c r="M179" s="5"/>
      <c r="T179" s="108"/>
      <c r="U179" s="7"/>
    </row>
    <row r="180" s="2" customFormat="true" ht="15" hidden="false" customHeight="false" outlineLevel="0" collapsed="false">
      <c r="I180" s="203" t="s">
        <v>48</v>
      </c>
      <c r="J180" s="204" t="n">
        <v>46093</v>
      </c>
      <c r="K180" s="203" t="s">
        <v>28</v>
      </c>
      <c r="L180" s="205" t="n">
        <v>2</v>
      </c>
      <c r="M180" s="5"/>
      <c r="T180" s="109"/>
      <c r="U180" s="7"/>
    </row>
    <row r="181" s="2" customFormat="true" ht="15" hidden="false" customHeight="false" outlineLevel="0" collapsed="false">
      <c r="I181" s="203" t="s">
        <v>49</v>
      </c>
      <c r="J181" s="204" t="n">
        <v>46093</v>
      </c>
      <c r="K181" s="203" t="s">
        <v>28</v>
      </c>
      <c r="L181" s="205" t="n">
        <v>3</v>
      </c>
      <c r="M181" s="5"/>
      <c r="T181" s="78"/>
      <c r="U181" s="7"/>
    </row>
    <row r="182" s="2" customFormat="true" ht="15" hidden="false" customHeight="false" outlineLevel="0" collapsed="false">
      <c r="I182" s="203" t="s">
        <v>50</v>
      </c>
      <c r="J182" s="204" t="n">
        <v>46093</v>
      </c>
      <c r="K182" s="203" t="s">
        <v>28</v>
      </c>
      <c r="L182" s="205" t="n">
        <v>11</v>
      </c>
      <c r="M182" s="5"/>
      <c r="T182" s="100"/>
      <c r="U182" s="7"/>
    </row>
    <row r="183" s="2" customFormat="true" ht="15" hidden="false" customHeight="false" outlineLevel="0" collapsed="false">
      <c r="I183" s="203" t="s">
        <v>51</v>
      </c>
      <c r="J183" s="204" t="n">
        <v>46093</v>
      </c>
      <c r="K183" s="203" t="s">
        <v>28</v>
      </c>
      <c r="L183" s="205" t="n">
        <v>1</v>
      </c>
      <c r="M183" s="5"/>
      <c r="T183" s="78"/>
      <c r="U183" s="7"/>
    </row>
    <row r="184" s="2" customFormat="true" ht="15" hidden="false" customHeight="false" outlineLevel="0" collapsed="false">
      <c r="I184" s="206" t="s">
        <v>12</v>
      </c>
      <c r="J184" s="207" t="n">
        <v>46093</v>
      </c>
      <c r="K184" s="206" t="s">
        <v>18</v>
      </c>
      <c r="L184" s="208"/>
      <c r="M184" s="5"/>
      <c r="T184" s="100"/>
      <c r="U184" s="7"/>
    </row>
    <row r="185" s="2" customFormat="true" ht="15" hidden="false" customHeight="false" outlineLevel="0" collapsed="false">
      <c r="I185" s="206" t="s">
        <v>17</v>
      </c>
      <c r="J185" s="207" t="n">
        <v>46093</v>
      </c>
      <c r="K185" s="206" t="s">
        <v>18</v>
      </c>
      <c r="L185" s="208" t="n">
        <v>200</v>
      </c>
      <c r="M185" s="5"/>
      <c r="T185" s="78"/>
      <c r="U185" s="7"/>
    </row>
    <row r="186" s="2" customFormat="true" ht="15" hidden="false" customHeight="false" outlineLevel="0" collapsed="false">
      <c r="I186" s="206" t="s">
        <v>20</v>
      </c>
      <c r="J186" s="207" t="n">
        <v>46093</v>
      </c>
      <c r="K186" s="206" t="s">
        <v>18</v>
      </c>
      <c r="L186" s="208"/>
      <c r="M186" s="5"/>
      <c r="T186" s="100"/>
      <c r="U186" s="7"/>
    </row>
    <row r="187" s="2" customFormat="true" ht="15" hidden="false" customHeight="false" outlineLevel="0" collapsed="false">
      <c r="I187" s="206" t="s">
        <v>19</v>
      </c>
      <c r="J187" s="207" t="n">
        <v>46093</v>
      </c>
      <c r="K187" s="206" t="s">
        <v>18</v>
      </c>
      <c r="L187" s="208" t="n">
        <v>150</v>
      </c>
      <c r="M187" s="5"/>
      <c r="T187" s="78"/>
      <c r="U187" s="7"/>
    </row>
    <row r="188" s="2" customFormat="true" ht="15" hidden="false" customHeight="false" outlineLevel="0" collapsed="false">
      <c r="I188" s="206" t="s">
        <v>24</v>
      </c>
      <c r="J188" s="207" t="n">
        <v>46093</v>
      </c>
      <c r="K188" s="206" t="s">
        <v>18</v>
      </c>
      <c r="L188" s="208" t="n">
        <v>162</v>
      </c>
      <c r="M188" s="5"/>
      <c r="T188" s="100"/>
      <c r="U188" s="7"/>
    </row>
    <row r="189" s="2" customFormat="true" ht="15" hidden="false" customHeight="false" outlineLevel="0" collapsed="false">
      <c r="I189" s="206" t="s">
        <v>27</v>
      </c>
      <c r="J189" s="207" t="n">
        <v>46093</v>
      </c>
      <c r="K189" s="206" t="s">
        <v>18</v>
      </c>
      <c r="L189" s="208" t="n">
        <v>165</v>
      </c>
      <c r="M189" s="5"/>
      <c r="T189" s="78"/>
      <c r="U189" s="7"/>
    </row>
    <row r="190" s="2" customFormat="true" ht="15" hidden="false" customHeight="false" outlineLevel="0" collapsed="false">
      <c r="I190" s="206" t="s">
        <v>29</v>
      </c>
      <c r="J190" s="207" t="n">
        <v>46093</v>
      </c>
      <c r="K190" s="206" t="s">
        <v>18</v>
      </c>
      <c r="L190" s="208"/>
      <c r="M190" s="5"/>
      <c r="T190" s="100"/>
      <c r="U190" s="7"/>
    </row>
    <row r="191" s="2" customFormat="true" ht="15" hidden="false" customHeight="false" outlineLevel="0" collapsed="false">
      <c r="I191" s="206" t="s">
        <v>30</v>
      </c>
      <c r="J191" s="207" t="n">
        <v>46093</v>
      </c>
      <c r="K191" s="206" t="s">
        <v>18</v>
      </c>
      <c r="L191" s="208" t="n">
        <v>178</v>
      </c>
      <c r="M191" s="5"/>
      <c r="T191" s="78"/>
      <c r="U191" s="7"/>
    </row>
    <row r="192" s="2" customFormat="true" ht="15" hidden="false" customHeight="false" outlineLevel="0" collapsed="false">
      <c r="I192" s="206" t="s">
        <v>32</v>
      </c>
      <c r="J192" s="207" t="n">
        <v>46093</v>
      </c>
      <c r="K192" s="206" t="s">
        <v>18</v>
      </c>
      <c r="L192" s="208"/>
      <c r="M192" s="5"/>
      <c r="T192" s="39"/>
      <c r="U192" s="7"/>
    </row>
    <row r="193" s="2" customFormat="true" ht="15" hidden="false" customHeight="false" outlineLevel="0" collapsed="false">
      <c r="I193" s="206" t="s">
        <v>38</v>
      </c>
      <c r="J193" s="207" t="n">
        <v>46093</v>
      </c>
      <c r="K193" s="206" t="s">
        <v>18</v>
      </c>
      <c r="L193" s="208"/>
      <c r="M193" s="5"/>
      <c r="T193" s="108"/>
      <c r="U193" s="7"/>
    </row>
    <row r="194" s="2" customFormat="true" ht="15" hidden="false" customHeight="false" outlineLevel="0" collapsed="false">
      <c r="I194" s="206" t="s">
        <v>39</v>
      </c>
      <c r="J194" s="207" t="n">
        <v>46093</v>
      </c>
      <c r="K194" s="206" t="s">
        <v>18</v>
      </c>
      <c r="L194" s="208" t="n">
        <v>182</v>
      </c>
      <c r="M194" s="5"/>
      <c r="T194" s="109"/>
      <c r="U194" s="7"/>
    </row>
    <row r="195" s="2" customFormat="true" ht="15" hidden="false" customHeight="false" outlineLevel="0" collapsed="false">
      <c r="I195" s="206" t="s">
        <v>40</v>
      </c>
      <c r="J195" s="207" t="n">
        <v>46093</v>
      </c>
      <c r="K195" s="206" t="s">
        <v>18</v>
      </c>
      <c r="L195" s="208" t="n">
        <v>153</v>
      </c>
      <c r="M195" s="5"/>
      <c r="T195" s="108"/>
      <c r="U195" s="7"/>
    </row>
    <row r="196" s="2" customFormat="true" ht="15" hidden="false" customHeight="false" outlineLevel="0" collapsed="false">
      <c r="I196" s="206" t="s">
        <v>41</v>
      </c>
      <c r="J196" s="207" t="n">
        <v>46093</v>
      </c>
      <c r="K196" s="206" t="s">
        <v>18</v>
      </c>
      <c r="L196" s="208" t="n">
        <v>160</v>
      </c>
      <c r="M196" s="5"/>
      <c r="T196" s="109"/>
      <c r="U196" s="7"/>
    </row>
    <row r="197" s="2" customFormat="true" ht="15" hidden="false" customHeight="false" outlineLevel="0" collapsed="false">
      <c r="I197" s="206" t="s">
        <v>42</v>
      </c>
      <c r="J197" s="207" t="n">
        <v>46093</v>
      </c>
      <c r="K197" s="206" t="s">
        <v>18</v>
      </c>
      <c r="L197" s="208" t="n">
        <v>180</v>
      </c>
      <c r="M197" s="5"/>
      <c r="T197" s="78"/>
      <c r="U197" s="7"/>
    </row>
    <row r="198" s="2" customFormat="true" ht="15" hidden="false" customHeight="false" outlineLevel="0" collapsed="false">
      <c r="I198" s="206" t="s">
        <v>43</v>
      </c>
      <c r="J198" s="207" t="n">
        <v>46093</v>
      </c>
      <c r="K198" s="206" t="s">
        <v>18</v>
      </c>
      <c r="L198" s="208"/>
      <c r="M198" s="5"/>
      <c r="T198" s="100"/>
      <c r="U198" s="7"/>
    </row>
    <row r="199" s="2" customFormat="true" ht="15" hidden="false" customHeight="false" outlineLevel="0" collapsed="false">
      <c r="I199" s="206" t="s">
        <v>44</v>
      </c>
      <c r="J199" s="207" t="n">
        <v>46093</v>
      </c>
      <c r="K199" s="206" t="s">
        <v>18</v>
      </c>
      <c r="L199" s="208" t="n">
        <v>140</v>
      </c>
      <c r="M199" s="5"/>
      <c r="T199" s="78"/>
      <c r="U199" s="7"/>
    </row>
    <row r="200" s="2" customFormat="true" ht="15" hidden="false" customHeight="false" outlineLevel="0" collapsed="false">
      <c r="I200" s="206" t="s">
        <v>45</v>
      </c>
      <c r="J200" s="207" t="n">
        <v>46093</v>
      </c>
      <c r="K200" s="206" t="s">
        <v>18</v>
      </c>
      <c r="L200" s="208" t="n">
        <v>159</v>
      </c>
      <c r="M200" s="5"/>
      <c r="T200" s="100"/>
      <c r="U200" s="7"/>
    </row>
    <row r="201" s="2" customFormat="true" ht="15" hidden="false" customHeight="false" outlineLevel="0" collapsed="false">
      <c r="I201" s="206" t="s">
        <v>46</v>
      </c>
      <c r="J201" s="207" t="n">
        <v>46093</v>
      </c>
      <c r="K201" s="206" t="s">
        <v>18</v>
      </c>
      <c r="L201" s="208" t="n">
        <v>166</v>
      </c>
      <c r="M201" s="5"/>
      <c r="T201" s="78"/>
      <c r="U201" s="7"/>
    </row>
    <row r="202" s="2" customFormat="true" ht="15" hidden="false" customHeight="false" outlineLevel="0" collapsed="false">
      <c r="I202" s="206" t="s">
        <v>47</v>
      </c>
      <c r="J202" s="207" t="n">
        <v>46093</v>
      </c>
      <c r="K202" s="206" t="s">
        <v>18</v>
      </c>
      <c r="L202" s="208" t="n">
        <v>190</v>
      </c>
      <c r="M202" s="5"/>
      <c r="T202" s="100"/>
      <c r="U202" s="7"/>
    </row>
    <row r="203" s="2" customFormat="true" ht="15" hidden="false" customHeight="false" outlineLevel="0" collapsed="false">
      <c r="I203" s="206" t="s">
        <v>48</v>
      </c>
      <c r="J203" s="207" t="n">
        <v>46093</v>
      </c>
      <c r="K203" s="206" t="s">
        <v>18</v>
      </c>
      <c r="L203" s="208" t="n">
        <v>170</v>
      </c>
      <c r="M203" s="5"/>
      <c r="T203" s="78"/>
      <c r="U203" s="7"/>
    </row>
    <row r="204" s="2" customFormat="true" ht="15" hidden="false" customHeight="false" outlineLevel="0" collapsed="false">
      <c r="I204" s="206" t="s">
        <v>49</v>
      </c>
      <c r="J204" s="207" t="n">
        <v>46093</v>
      </c>
      <c r="K204" s="206" t="s">
        <v>18</v>
      </c>
      <c r="L204" s="208" t="n">
        <v>165</v>
      </c>
      <c r="M204" s="5"/>
      <c r="T204" s="100"/>
      <c r="U204" s="7"/>
    </row>
    <row r="205" s="2" customFormat="true" ht="15" hidden="false" customHeight="false" outlineLevel="0" collapsed="false">
      <c r="I205" s="206" t="s">
        <v>50</v>
      </c>
      <c r="J205" s="207" t="n">
        <v>46093</v>
      </c>
      <c r="K205" s="206" t="s">
        <v>18</v>
      </c>
      <c r="L205" s="208" t="n">
        <v>180</v>
      </c>
      <c r="M205" s="5"/>
      <c r="T205" s="78"/>
      <c r="U205" s="7"/>
    </row>
    <row r="206" s="2" customFormat="true" ht="15" hidden="false" customHeight="false" outlineLevel="0" collapsed="false">
      <c r="I206" s="206" t="s">
        <v>51</v>
      </c>
      <c r="J206" s="207" t="n">
        <v>46093</v>
      </c>
      <c r="K206" s="206" t="s">
        <v>18</v>
      </c>
      <c r="L206" s="208" t="n">
        <v>153</v>
      </c>
      <c r="M206" s="5"/>
      <c r="T206" s="100"/>
      <c r="U206" s="7"/>
    </row>
    <row r="207" s="2" customFormat="true" ht="15" hidden="false" customHeight="false" outlineLevel="0" collapsed="false">
      <c r="I207" s="32" t="s">
        <v>12</v>
      </c>
      <c r="J207" s="33" t="n">
        <v>46093</v>
      </c>
      <c r="K207" s="32" t="s">
        <v>21</v>
      </c>
      <c r="L207" s="34"/>
      <c r="M207" s="5"/>
      <c r="T207" s="78"/>
      <c r="U207" s="7"/>
    </row>
    <row r="208" s="2" customFormat="true" ht="15" hidden="false" customHeight="false" outlineLevel="0" collapsed="false">
      <c r="I208" s="32" t="s">
        <v>17</v>
      </c>
      <c r="J208" s="33" t="n">
        <v>46093</v>
      </c>
      <c r="K208" s="32" t="s">
        <v>21</v>
      </c>
      <c r="L208" s="34" t="n">
        <v>6.92</v>
      </c>
      <c r="M208" s="5"/>
      <c r="T208" s="39"/>
      <c r="U208" s="7"/>
    </row>
    <row r="209" s="2" customFormat="true" ht="15" hidden="false" customHeight="false" outlineLevel="0" collapsed="false">
      <c r="I209" s="32" t="s">
        <v>20</v>
      </c>
      <c r="J209" s="33" t="n">
        <v>46093</v>
      </c>
      <c r="K209" s="32" t="s">
        <v>21</v>
      </c>
      <c r="L209" s="34"/>
      <c r="M209" s="5"/>
      <c r="T209" s="108"/>
      <c r="U209" s="7"/>
    </row>
    <row r="210" s="2" customFormat="true" ht="15" hidden="false" customHeight="false" outlineLevel="0" collapsed="false">
      <c r="I210" s="32" t="s">
        <v>19</v>
      </c>
      <c r="J210" s="33" t="n">
        <v>46093</v>
      </c>
      <c r="K210" s="32" t="s">
        <v>21</v>
      </c>
      <c r="L210" s="34" t="n">
        <v>6.62</v>
      </c>
      <c r="M210" s="5"/>
      <c r="T210" s="109"/>
      <c r="U210" s="7"/>
    </row>
    <row r="211" s="2" customFormat="true" ht="15" hidden="false" customHeight="false" outlineLevel="0" collapsed="false">
      <c r="I211" s="32" t="s">
        <v>24</v>
      </c>
      <c r="J211" s="33" t="n">
        <v>46093</v>
      </c>
      <c r="K211" s="32" t="s">
        <v>21</v>
      </c>
      <c r="L211" s="34" t="n">
        <v>8.67</v>
      </c>
      <c r="M211" s="5"/>
      <c r="T211" s="108"/>
      <c r="U211" s="7"/>
    </row>
    <row r="212" s="2" customFormat="true" ht="15" hidden="false" customHeight="false" outlineLevel="0" collapsed="false">
      <c r="I212" s="32" t="s">
        <v>27</v>
      </c>
      <c r="J212" s="33" t="n">
        <v>46093</v>
      </c>
      <c r="K212" s="32" t="s">
        <v>21</v>
      </c>
      <c r="L212" s="34" t="n">
        <v>6.75</v>
      </c>
      <c r="M212" s="5"/>
      <c r="T212" s="109"/>
      <c r="U212" s="7"/>
    </row>
    <row r="213" s="2" customFormat="true" ht="15" hidden="false" customHeight="false" outlineLevel="0" collapsed="false">
      <c r="I213" s="32" t="s">
        <v>29</v>
      </c>
      <c r="J213" s="33" t="n">
        <v>46093</v>
      </c>
      <c r="K213" s="32" t="s">
        <v>21</v>
      </c>
      <c r="L213" s="34"/>
      <c r="M213" s="5"/>
      <c r="T213" s="78"/>
      <c r="U213" s="7"/>
    </row>
    <row r="214" s="2" customFormat="true" ht="15" hidden="false" customHeight="false" outlineLevel="0" collapsed="false">
      <c r="I214" s="32" t="s">
        <v>30</v>
      </c>
      <c r="J214" s="33" t="n">
        <v>46093</v>
      </c>
      <c r="K214" s="32" t="s">
        <v>21</v>
      </c>
      <c r="L214" s="34" t="n">
        <v>6.42</v>
      </c>
      <c r="M214" s="5"/>
      <c r="T214" s="100"/>
      <c r="U214" s="7"/>
    </row>
    <row r="215" s="2" customFormat="true" ht="15" hidden="false" customHeight="false" outlineLevel="0" collapsed="false">
      <c r="I215" s="32" t="s">
        <v>32</v>
      </c>
      <c r="J215" s="33" t="n">
        <v>46093</v>
      </c>
      <c r="K215" s="32" t="s">
        <v>21</v>
      </c>
      <c r="L215" s="34"/>
      <c r="M215" s="5"/>
      <c r="T215" s="78"/>
      <c r="U215" s="7"/>
    </row>
    <row r="216" s="2" customFormat="true" ht="15" hidden="false" customHeight="false" outlineLevel="0" collapsed="false">
      <c r="I216" s="32" t="s">
        <v>38</v>
      </c>
      <c r="J216" s="33" t="n">
        <v>46093</v>
      </c>
      <c r="K216" s="32" t="s">
        <v>21</v>
      </c>
      <c r="L216" s="34"/>
      <c r="M216" s="5"/>
      <c r="T216" s="100"/>
      <c r="U216" s="7"/>
    </row>
    <row r="217" s="2" customFormat="true" ht="15" hidden="false" customHeight="false" outlineLevel="0" collapsed="false">
      <c r="I217" s="32" t="s">
        <v>39</v>
      </c>
      <c r="J217" s="33" t="n">
        <v>46093</v>
      </c>
      <c r="K217" s="32" t="s">
        <v>21</v>
      </c>
      <c r="L217" s="34" t="n">
        <v>6.65</v>
      </c>
      <c r="M217" s="5"/>
      <c r="T217" s="78"/>
      <c r="U217" s="7"/>
    </row>
    <row r="218" s="2" customFormat="true" ht="15" hidden="false" customHeight="false" outlineLevel="0" collapsed="false">
      <c r="I218" s="32" t="s">
        <v>40</v>
      </c>
      <c r="J218" s="33" t="n">
        <v>46093</v>
      </c>
      <c r="K218" s="32" t="s">
        <v>21</v>
      </c>
      <c r="L218" s="34" t="n">
        <v>7.18</v>
      </c>
      <c r="M218" s="5"/>
      <c r="T218" s="100"/>
      <c r="U218" s="7"/>
    </row>
    <row r="219" s="2" customFormat="true" ht="15" hidden="false" customHeight="false" outlineLevel="0" collapsed="false">
      <c r="I219" s="32" t="s">
        <v>41</v>
      </c>
      <c r="J219" s="33" t="n">
        <v>46093</v>
      </c>
      <c r="K219" s="32" t="s">
        <v>21</v>
      </c>
      <c r="L219" s="34" t="n">
        <v>6.32</v>
      </c>
      <c r="M219" s="5"/>
      <c r="T219" s="78"/>
      <c r="U219" s="7"/>
    </row>
    <row r="220" s="2" customFormat="true" ht="15" hidden="false" customHeight="false" outlineLevel="0" collapsed="false">
      <c r="I220" s="32" t="s">
        <v>42</v>
      </c>
      <c r="J220" s="33" t="n">
        <v>46093</v>
      </c>
      <c r="K220" s="32" t="s">
        <v>21</v>
      </c>
      <c r="L220" s="34" t="n">
        <v>6.55</v>
      </c>
      <c r="M220" s="5"/>
      <c r="T220" s="100"/>
      <c r="U220" s="7"/>
    </row>
    <row r="221" s="2" customFormat="true" ht="15" hidden="false" customHeight="false" outlineLevel="0" collapsed="false">
      <c r="I221" s="32" t="s">
        <v>43</v>
      </c>
      <c r="J221" s="33" t="n">
        <v>46093</v>
      </c>
      <c r="K221" s="32" t="s">
        <v>21</v>
      </c>
      <c r="L221" s="34"/>
      <c r="M221" s="5"/>
      <c r="T221" s="78"/>
      <c r="U221" s="7"/>
    </row>
    <row r="222" s="2" customFormat="true" ht="15" hidden="false" customHeight="false" outlineLevel="0" collapsed="false">
      <c r="I222" s="32" t="s">
        <v>44</v>
      </c>
      <c r="J222" s="33" t="n">
        <v>46093</v>
      </c>
      <c r="K222" s="32" t="s">
        <v>21</v>
      </c>
      <c r="L222" s="34" t="n">
        <v>6.42</v>
      </c>
      <c r="M222" s="5"/>
      <c r="T222" s="100"/>
      <c r="U222" s="7"/>
    </row>
    <row r="223" s="2" customFormat="true" ht="15" hidden="false" customHeight="false" outlineLevel="0" collapsed="false">
      <c r="I223" s="32" t="s">
        <v>45</v>
      </c>
      <c r="J223" s="33" t="n">
        <v>46093</v>
      </c>
      <c r="K223" s="32" t="s">
        <v>21</v>
      </c>
      <c r="L223" s="34" t="n">
        <v>6.97</v>
      </c>
      <c r="M223" s="5"/>
      <c r="T223" s="78"/>
      <c r="U223" s="7"/>
    </row>
    <row r="224" s="2" customFormat="true" ht="15" hidden="false" customHeight="false" outlineLevel="0" collapsed="false">
      <c r="I224" s="32" t="s">
        <v>46</v>
      </c>
      <c r="J224" s="33" t="n">
        <v>46093</v>
      </c>
      <c r="K224" s="32" t="s">
        <v>21</v>
      </c>
      <c r="L224" s="34" t="n">
        <v>6.86</v>
      </c>
      <c r="M224" s="5"/>
      <c r="T224" s="39"/>
      <c r="U224" s="7"/>
    </row>
    <row r="225" s="2" customFormat="true" ht="15" hidden="false" customHeight="false" outlineLevel="0" collapsed="false">
      <c r="I225" s="32" t="s">
        <v>47</v>
      </c>
      <c r="J225" s="33" t="n">
        <v>46093</v>
      </c>
      <c r="K225" s="32" t="s">
        <v>21</v>
      </c>
      <c r="L225" s="34" t="n">
        <v>6.71</v>
      </c>
      <c r="M225" s="5"/>
      <c r="T225" s="108"/>
      <c r="U225" s="7"/>
    </row>
    <row r="226" s="2" customFormat="true" ht="15" hidden="false" customHeight="false" outlineLevel="0" collapsed="false">
      <c r="I226" s="32" t="s">
        <v>48</v>
      </c>
      <c r="J226" s="33" t="n">
        <v>46093</v>
      </c>
      <c r="K226" s="32" t="s">
        <v>21</v>
      </c>
      <c r="L226" s="34" t="n">
        <v>6.61</v>
      </c>
      <c r="M226" s="5"/>
      <c r="T226" s="109"/>
      <c r="U226" s="7"/>
    </row>
    <row r="227" s="2" customFormat="true" ht="15" hidden="false" customHeight="false" outlineLevel="0" collapsed="false">
      <c r="I227" s="32" t="s">
        <v>49</v>
      </c>
      <c r="J227" s="33" t="n">
        <v>46093</v>
      </c>
      <c r="K227" s="32" t="s">
        <v>21</v>
      </c>
      <c r="L227" s="34" t="n">
        <v>6.96</v>
      </c>
      <c r="M227" s="5"/>
      <c r="T227" s="108"/>
      <c r="U227" s="7"/>
    </row>
    <row r="228" s="2" customFormat="true" ht="15" hidden="false" customHeight="false" outlineLevel="0" collapsed="false">
      <c r="I228" s="32" t="s">
        <v>50</v>
      </c>
      <c r="J228" s="33" t="n">
        <v>46093</v>
      </c>
      <c r="K228" s="32" t="s">
        <v>21</v>
      </c>
      <c r="L228" s="34" t="n">
        <v>6.73</v>
      </c>
      <c r="M228" s="5"/>
      <c r="T228" s="109"/>
      <c r="U228" s="7"/>
    </row>
    <row r="229" s="2" customFormat="true" ht="15" hidden="false" customHeight="false" outlineLevel="0" collapsed="false">
      <c r="I229" s="32" t="s">
        <v>51</v>
      </c>
      <c r="J229" s="33" t="n">
        <v>46093</v>
      </c>
      <c r="K229" s="32" t="s">
        <v>21</v>
      </c>
      <c r="L229" s="34" t="n">
        <v>6.84</v>
      </c>
      <c r="M229" s="5"/>
      <c r="T229" s="78"/>
      <c r="U229" s="7"/>
    </row>
    <row r="230" s="2" customFormat="true" ht="15" hidden="false" customHeight="false" outlineLevel="0" collapsed="false">
      <c r="I230" s="209"/>
      <c r="J230" s="210"/>
      <c r="K230" s="209"/>
      <c r="L230" s="209"/>
      <c r="M230" s="5"/>
      <c r="T230" s="100"/>
      <c r="U230" s="7"/>
    </row>
    <row r="231" s="2" customFormat="true" ht="15" hidden="false" customHeight="false" outlineLevel="0" collapsed="false">
      <c r="I231" s="5"/>
      <c r="J231" s="211"/>
      <c r="K231" s="5"/>
      <c r="L231" s="5"/>
      <c r="M231" s="5"/>
      <c r="T231" s="78"/>
      <c r="U231" s="7"/>
    </row>
    <row r="232" s="2" customFormat="true" ht="15" hidden="false" customHeight="false" outlineLevel="0" collapsed="false">
      <c r="I232" s="209"/>
      <c r="J232" s="210"/>
      <c r="K232" s="209"/>
      <c r="L232" s="209"/>
      <c r="M232" s="5"/>
      <c r="T232" s="100"/>
      <c r="U232" s="7"/>
    </row>
    <row r="233" s="2" customFormat="true" ht="15" hidden="false" customHeight="false" outlineLevel="0" collapsed="false">
      <c r="I233" s="5"/>
      <c r="J233" s="211"/>
      <c r="K233" s="5"/>
      <c r="L233" s="5"/>
      <c r="M233" s="5"/>
      <c r="T233" s="78"/>
      <c r="U233" s="7"/>
    </row>
    <row r="234" s="2" customFormat="true" ht="15" hidden="false" customHeight="false" outlineLevel="0" collapsed="false">
      <c r="I234" s="209"/>
      <c r="J234" s="210"/>
      <c r="K234" s="209"/>
      <c r="L234" s="209"/>
      <c r="M234" s="5"/>
      <c r="T234" s="100"/>
      <c r="U234" s="7"/>
    </row>
    <row r="235" s="2" customFormat="true" ht="15" hidden="false" customHeight="false" outlineLevel="0" collapsed="false">
      <c r="I235" s="5"/>
      <c r="J235" s="211"/>
      <c r="K235" s="5"/>
      <c r="L235" s="5"/>
      <c r="M235" s="5"/>
      <c r="T235" s="78"/>
      <c r="U235" s="7"/>
    </row>
    <row r="236" s="2" customFormat="true" ht="15" hidden="false" customHeight="false" outlineLevel="0" collapsed="false">
      <c r="I236" s="209"/>
      <c r="J236" s="210"/>
      <c r="K236" s="209"/>
      <c r="L236" s="209"/>
      <c r="M236" s="5"/>
      <c r="T236" s="100"/>
      <c r="U236" s="7"/>
    </row>
    <row r="237" s="2" customFormat="true" ht="15" hidden="false" customHeight="false" outlineLevel="0" collapsed="false">
      <c r="I237" s="5"/>
      <c r="J237" s="211"/>
      <c r="K237" s="5"/>
      <c r="L237" s="5"/>
      <c r="M237" s="5"/>
      <c r="T237" s="78"/>
      <c r="U237" s="7"/>
    </row>
    <row r="238" s="2" customFormat="true" ht="15" hidden="false" customHeight="false" outlineLevel="0" collapsed="false">
      <c r="I238" s="209"/>
      <c r="J238" s="210"/>
      <c r="K238" s="209"/>
      <c r="L238" s="209"/>
      <c r="M238" s="5"/>
      <c r="T238" s="100"/>
      <c r="U238" s="7"/>
    </row>
    <row r="239" s="2" customFormat="true" ht="15" hidden="false" customHeight="false" outlineLevel="0" collapsed="false">
      <c r="I239" s="5"/>
      <c r="J239" s="211"/>
      <c r="K239" s="5"/>
      <c r="L239" s="5"/>
      <c r="M239" s="5"/>
      <c r="T239" s="78"/>
      <c r="U239" s="7"/>
    </row>
    <row r="240" s="2" customFormat="true" ht="15" hidden="false" customHeight="false" outlineLevel="0" collapsed="false">
      <c r="I240" s="209"/>
      <c r="J240" s="210"/>
      <c r="K240" s="209"/>
      <c r="L240" s="209"/>
      <c r="M240" s="5"/>
      <c r="T240" s="39"/>
      <c r="U240" s="7"/>
    </row>
    <row r="241" s="2" customFormat="true" ht="15" hidden="false" customHeight="false" outlineLevel="0" collapsed="false">
      <c r="I241" s="5"/>
      <c r="J241" s="211"/>
      <c r="K241" s="5"/>
      <c r="L241" s="5"/>
      <c r="M241" s="5"/>
      <c r="T241" s="108"/>
      <c r="U241" s="7"/>
    </row>
    <row r="242" s="2" customFormat="true" ht="15" hidden="false" customHeight="false" outlineLevel="0" collapsed="false">
      <c r="I242" s="209"/>
      <c r="J242" s="210"/>
      <c r="K242" s="209"/>
      <c r="L242" s="209"/>
      <c r="M242" s="5"/>
      <c r="T242" s="109"/>
      <c r="U242" s="7"/>
    </row>
    <row r="243" s="2" customFormat="true" ht="15" hidden="false" customHeight="false" outlineLevel="0" collapsed="false">
      <c r="I243" s="5"/>
      <c r="J243" s="211"/>
      <c r="K243" s="5"/>
      <c r="L243" s="5"/>
      <c r="M243" s="5"/>
      <c r="T243" s="108"/>
      <c r="U243" s="7"/>
    </row>
    <row r="244" s="2" customFormat="true" ht="15" hidden="false" customHeight="false" outlineLevel="0" collapsed="false">
      <c r="I244" s="209"/>
      <c r="J244" s="210"/>
      <c r="K244" s="209"/>
      <c r="L244" s="209"/>
      <c r="M244" s="5"/>
      <c r="T244" s="109"/>
      <c r="U244" s="7"/>
    </row>
    <row r="245" s="2" customFormat="true" ht="15" hidden="false" customHeight="false" outlineLevel="0" collapsed="false">
      <c r="I245" s="5"/>
      <c r="J245" s="211"/>
      <c r="K245" s="5"/>
      <c r="L245" s="5"/>
      <c r="M245" s="5"/>
      <c r="T245" s="78"/>
      <c r="U245" s="7"/>
    </row>
    <row r="246" s="2" customFormat="true" ht="15" hidden="false" customHeight="false" outlineLevel="0" collapsed="false">
      <c r="I246" s="209"/>
      <c r="J246" s="210"/>
      <c r="K246" s="209"/>
      <c r="L246" s="209"/>
      <c r="M246" s="5"/>
      <c r="T246" s="100"/>
      <c r="U246" s="7"/>
    </row>
    <row r="247" s="2" customFormat="true" ht="15" hidden="false" customHeight="false" outlineLevel="0" collapsed="false">
      <c r="I247" s="5"/>
      <c r="J247" s="211"/>
      <c r="K247" s="5"/>
      <c r="L247" s="5"/>
      <c r="M247" s="5"/>
      <c r="T247" s="78"/>
      <c r="U247" s="7"/>
    </row>
    <row r="248" s="2" customFormat="true" ht="15" hidden="false" customHeight="false" outlineLevel="0" collapsed="false">
      <c r="I248" s="209"/>
      <c r="J248" s="210"/>
      <c r="K248" s="209"/>
      <c r="L248" s="209"/>
      <c r="M248" s="5"/>
      <c r="T248" s="100"/>
      <c r="U248" s="7"/>
    </row>
    <row r="249" s="2" customFormat="true" ht="15" hidden="false" customHeight="false" outlineLevel="0" collapsed="false">
      <c r="I249" s="5"/>
      <c r="J249" s="211"/>
      <c r="K249" s="5"/>
      <c r="L249" s="5"/>
      <c r="M249" s="5"/>
      <c r="T249" s="78"/>
      <c r="U249" s="7"/>
    </row>
    <row r="250" s="2" customFormat="true" ht="15" hidden="false" customHeight="false" outlineLevel="0" collapsed="false">
      <c r="I250" s="209"/>
      <c r="J250" s="210"/>
      <c r="K250" s="209"/>
      <c r="L250" s="209"/>
      <c r="M250" s="5"/>
      <c r="T250" s="100"/>
      <c r="U250" s="7"/>
    </row>
    <row r="251" s="2" customFormat="true" ht="15" hidden="false" customHeight="false" outlineLevel="0" collapsed="false">
      <c r="I251" s="5"/>
      <c r="J251" s="211"/>
      <c r="K251" s="5"/>
      <c r="L251" s="5"/>
      <c r="M251" s="5"/>
      <c r="T251" s="78"/>
      <c r="U251" s="7"/>
    </row>
    <row r="252" s="2" customFormat="true" ht="15" hidden="false" customHeight="false" outlineLevel="0" collapsed="false">
      <c r="I252" s="209"/>
      <c r="J252" s="210"/>
      <c r="K252" s="209"/>
      <c r="L252" s="209"/>
      <c r="M252" s="5"/>
      <c r="T252" s="100"/>
      <c r="U252" s="7"/>
    </row>
    <row r="253" s="2" customFormat="true" ht="15" hidden="false" customHeight="false" outlineLevel="0" collapsed="false">
      <c r="I253" s="5"/>
      <c r="J253" s="211"/>
      <c r="K253" s="5"/>
      <c r="L253" s="5"/>
      <c r="M253" s="5"/>
      <c r="T253" s="78"/>
      <c r="U253" s="7"/>
    </row>
    <row r="254" s="2" customFormat="true" ht="15" hidden="false" customHeight="false" outlineLevel="0" collapsed="false">
      <c r="I254" s="209"/>
      <c r="J254" s="210"/>
      <c r="K254" s="209"/>
      <c r="L254" s="209"/>
      <c r="M254" s="5"/>
      <c r="T254" s="100"/>
      <c r="U254" s="7"/>
    </row>
    <row r="255" s="2" customFormat="true" ht="15" hidden="false" customHeight="false" outlineLevel="0" collapsed="false">
      <c r="I255" s="5"/>
      <c r="J255" s="211"/>
      <c r="K255" s="5"/>
      <c r="L255" s="5"/>
      <c r="M255" s="5"/>
      <c r="T255" s="78"/>
      <c r="U255" s="7"/>
    </row>
    <row r="256" s="2" customFormat="true" ht="15" hidden="false" customHeight="false" outlineLevel="0" collapsed="false">
      <c r="I256" s="209"/>
      <c r="J256" s="210"/>
      <c r="K256" s="209"/>
      <c r="L256" s="209"/>
      <c r="M256" s="5"/>
      <c r="T256" s="39"/>
      <c r="U256" s="7"/>
    </row>
    <row r="257" s="2" customFormat="true" ht="15" hidden="false" customHeight="false" outlineLevel="0" collapsed="false">
      <c r="I257" s="5"/>
      <c r="J257" s="211"/>
      <c r="K257" s="5"/>
      <c r="L257" s="5"/>
      <c r="M257" s="5"/>
      <c r="T257" s="108"/>
      <c r="U257" s="7"/>
    </row>
    <row r="258" s="2" customFormat="true" ht="15" hidden="false" customHeight="false" outlineLevel="0" collapsed="false">
      <c r="I258" s="209"/>
      <c r="J258" s="210"/>
      <c r="K258" s="209"/>
      <c r="L258" s="209"/>
      <c r="M258" s="5"/>
      <c r="T258" s="109"/>
      <c r="U258" s="7"/>
    </row>
    <row r="259" s="2" customFormat="true" ht="15" hidden="false" customHeight="false" outlineLevel="0" collapsed="false">
      <c r="I259" s="5"/>
      <c r="J259" s="211"/>
      <c r="K259" s="5"/>
      <c r="L259" s="5"/>
      <c r="M259" s="5"/>
      <c r="T259" s="108"/>
      <c r="U259" s="7"/>
    </row>
    <row r="260" s="2" customFormat="true" ht="15" hidden="false" customHeight="false" outlineLevel="0" collapsed="false">
      <c r="I260" s="209"/>
      <c r="J260" s="210"/>
      <c r="K260" s="209"/>
      <c r="L260" s="209"/>
      <c r="M260" s="5"/>
      <c r="T260" s="109"/>
      <c r="U260" s="7"/>
    </row>
    <row r="261" s="2" customFormat="true" ht="15" hidden="false" customHeight="false" outlineLevel="0" collapsed="false">
      <c r="I261" s="5"/>
      <c r="J261" s="211"/>
      <c r="K261" s="5"/>
      <c r="L261" s="5"/>
      <c r="M261" s="5"/>
      <c r="T261" s="78"/>
      <c r="U261" s="7"/>
    </row>
    <row r="262" s="2" customFormat="true" ht="15" hidden="false" customHeight="false" outlineLevel="0" collapsed="false">
      <c r="I262" s="209"/>
      <c r="J262" s="210"/>
      <c r="K262" s="209"/>
      <c r="L262" s="209"/>
      <c r="M262" s="5"/>
      <c r="T262" s="100"/>
      <c r="U262" s="7"/>
    </row>
    <row r="263" s="2" customFormat="true" ht="15" hidden="false" customHeight="false" outlineLevel="0" collapsed="false">
      <c r="I263" s="5"/>
      <c r="J263" s="211"/>
      <c r="K263" s="5"/>
      <c r="L263" s="5"/>
      <c r="M263" s="5"/>
      <c r="T263" s="78"/>
      <c r="U263" s="7"/>
    </row>
    <row r="264" s="2" customFormat="true" ht="15" hidden="false" customHeight="false" outlineLevel="0" collapsed="false">
      <c r="I264" s="209"/>
      <c r="J264" s="210"/>
      <c r="K264" s="209"/>
      <c r="L264" s="209"/>
      <c r="M264" s="5"/>
      <c r="T264" s="100"/>
      <c r="U264" s="7"/>
    </row>
    <row r="265" s="2" customFormat="true" ht="15" hidden="false" customHeight="false" outlineLevel="0" collapsed="false">
      <c r="I265" s="5"/>
      <c r="J265" s="211"/>
      <c r="K265" s="5"/>
      <c r="L265" s="5"/>
      <c r="M265" s="5"/>
      <c r="T265" s="78"/>
      <c r="U265" s="7"/>
    </row>
    <row r="266" s="2" customFormat="true" ht="15" hidden="false" customHeight="false" outlineLevel="0" collapsed="false">
      <c r="I266" s="209"/>
      <c r="J266" s="210"/>
      <c r="K266" s="209"/>
      <c r="L266" s="209"/>
      <c r="M266" s="5"/>
      <c r="T266" s="100"/>
      <c r="U266" s="7"/>
    </row>
    <row r="267" s="2" customFormat="true" ht="15" hidden="false" customHeight="false" outlineLevel="0" collapsed="false">
      <c r="I267" s="5"/>
      <c r="J267" s="211"/>
      <c r="K267" s="5"/>
      <c r="L267" s="5"/>
      <c r="M267" s="5"/>
      <c r="T267" s="78"/>
      <c r="U267" s="7"/>
    </row>
    <row r="268" s="2" customFormat="true" ht="15" hidden="false" customHeight="false" outlineLevel="0" collapsed="false">
      <c r="I268" s="209"/>
      <c r="J268" s="210"/>
      <c r="K268" s="209"/>
      <c r="L268" s="209"/>
      <c r="M268" s="5"/>
      <c r="T268" s="100"/>
      <c r="U268" s="7"/>
    </row>
    <row r="269" s="2" customFormat="true" ht="15" hidden="false" customHeight="false" outlineLevel="0" collapsed="false">
      <c r="I269" s="5"/>
      <c r="J269" s="211"/>
      <c r="K269" s="5"/>
      <c r="L269" s="5"/>
      <c r="M269" s="5"/>
      <c r="T269" s="78"/>
      <c r="U269" s="7"/>
    </row>
    <row r="270" s="2" customFormat="true" ht="15" hidden="false" customHeight="false" outlineLevel="0" collapsed="false">
      <c r="I270" s="209"/>
      <c r="J270" s="210"/>
      <c r="K270" s="209"/>
      <c r="L270" s="209"/>
      <c r="M270" s="5"/>
      <c r="T270" s="100"/>
      <c r="U270" s="7"/>
    </row>
    <row r="271" s="2" customFormat="true" ht="15" hidden="false" customHeight="false" outlineLevel="0" collapsed="false">
      <c r="I271" s="5"/>
      <c r="J271" s="211"/>
      <c r="K271" s="5"/>
      <c r="L271" s="5"/>
      <c r="M271" s="5"/>
      <c r="T271" s="78"/>
      <c r="U271" s="7"/>
    </row>
    <row r="272" s="2" customFormat="true" ht="15" hidden="false" customHeight="false" outlineLevel="0" collapsed="false">
      <c r="I272" s="209"/>
      <c r="J272" s="210"/>
      <c r="K272" s="209"/>
      <c r="L272" s="209"/>
      <c r="M272" s="5"/>
      <c r="T272" s="39"/>
      <c r="U272" s="7"/>
    </row>
    <row r="273" s="2" customFormat="true" ht="15" hidden="false" customHeight="false" outlineLevel="0" collapsed="false">
      <c r="I273" s="5"/>
      <c r="J273" s="211"/>
      <c r="K273" s="5"/>
      <c r="L273" s="5"/>
      <c r="M273" s="5"/>
      <c r="T273" s="108"/>
      <c r="U273" s="7"/>
    </row>
    <row r="274" s="2" customFormat="true" ht="15" hidden="false" customHeight="false" outlineLevel="0" collapsed="false">
      <c r="I274" s="209"/>
      <c r="J274" s="210"/>
      <c r="K274" s="209"/>
      <c r="L274" s="209"/>
      <c r="M274" s="5"/>
      <c r="T274" s="109"/>
      <c r="U274" s="7"/>
    </row>
    <row r="275" s="2" customFormat="true" ht="15" hidden="false" customHeight="false" outlineLevel="0" collapsed="false">
      <c r="I275" s="5"/>
      <c r="J275" s="211"/>
      <c r="K275" s="5"/>
      <c r="L275" s="5"/>
      <c r="M275" s="5"/>
      <c r="T275" s="108"/>
      <c r="U275" s="7"/>
    </row>
    <row r="276" s="2" customFormat="true" ht="15" hidden="false" customHeight="false" outlineLevel="0" collapsed="false">
      <c r="I276" s="209"/>
      <c r="J276" s="210"/>
      <c r="K276" s="209"/>
      <c r="L276" s="209"/>
      <c r="M276" s="5"/>
      <c r="T276" s="109"/>
      <c r="U276" s="7"/>
    </row>
    <row r="277" s="2" customFormat="true" ht="15" hidden="false" customHeight="false" outlineLevel="0" collapsed="false">
      <c r="I277" s="5"/>
      <c r="J277" s="211"/>
      <c r="K277" s="5"/>
      <c r="L277" s="5"/>
      <c r="M277" s="5"/>
      <c r="T277" s="78"/>
      <c r="U277" s="7"/>
    </row>
    <row r="278" s="2" customFormat="true" ht="15" hidden="false" customHeight="false" outlineLevel="0" collapsed="false">
      <c r="I278" s="209"/>
      <c r="J278" s="210"/>
      <c r="K278" s="209"/>
      <c r="L278" s="209"/>
      <c r="M278" s="5"/>
      <c r="T278" s="100"/>
      <c r="U278" s="7"/>
    </row>
    <row r="279" s="2" customFormat="true" ht="15" hidden="false" customHeight="false" outlineLevel="0" collapsed="false">
      <c r="I279" s="5"/>
      <c r="J279" s="211"/>
      <c r="K279" s="5"/>
      <c r="L279" s="5"/>
      <c r="M279" s="5"/>
      <c r="T279" s="78"/>
      <c r="U279" s="7"/>
    </row>
    <row r="280" s="2" customFormat="true" ht="15" hidden="false" customHeight="false" outlineLevel="0" collapsed="false">
      <c r="I280" s="209"/>
      <c r="J280" s="210"/>
      <c r="K280" s="209"/>
      <c r="L280" s="209"/>
      <c r="M280" s="5"/>
      <c r="T280" s="100"/>
      <c r="U280" s="7"/>
    </row>
    <row r="281" s="2" customFormat="true" ht="15" hidden="false" customHeight="false" outlineLevel="0" collapsed="false">
      <c r="I281" s="5"/>
      <c r="J281" s="211"/>
      <c r="K281" s="5"/>
      <c r="L281" s="5"/>
      <c r="M281" s="5"/>
      <c r="T281" s="78"/>
      <c r="U281" s="7"/>
    </row>
    <row r="282" s="2" customFormat="true" ht="15" hidden="false" customHeight="false" outlineLevel="0" collapsed="false">
      <c r="I282" s="209"/>
      <c r="J282" s="210"/>
      <c r="K282" s="209"/>
      <c r="L282" s="209"/>
      <c r="M282" s="5"/>
      <c r="T282" s="100"/>
      <c r="U282" s="7"/>
    </row>
    <row r="283" s="2" customFormat="true" ht="15" hidden="false" customHeight="false" outlineLevel="0" collapsed="false">
      <c r="I283" s="5"/>
      <c r="J283" s="211"/>
      <c r="K283" s="5"/>
      <c r="L283" s="5"/>
      <c r="M283" s="5"/>
      <c r="T283" s="78"/>
      <c r="U283" s="7"/>
    </row>
    <row r="284" s="2" customFormat="true" ht="15" hidden="false" customHeight="false" outlineLevel="0" collapsed="false">
      <c r="I284" s="209"/>
      <c r="J284" s="210"/>
      <c r="K284" s="209"/>
      <c r="L284" s="209"/>
      <c r="M284" s="5"/>
      <c r="T284" s="100"/>
      <c r="U284" s="7"/>
    </row>
    <row r="285" s="2" customFormat="true" ht="15" hidden="false" customHeight="false" outlineLevel="0" collapsed="false">
      <c r="I285" s="5"/>
      <c r="J285" s="211"/>
      <c r="K285" s="5"/>
      <c r="L285" s="5"/>
      <c r="M285" s="5"/>
      <c r="T285" s="78"/>
      <c r="U285" s="7"/>
    </row>
    <row r="286" s="2" customFormat="true" ht="15" hidden="false" customHeight="false" outlineLevel="0" collapsed="false">
      <c r="I286" s="209"/>
      <c r="J286" s="210"/>
      <c r="K286" s="209"/>
      <c r="L286" s="209"/>
      <c r="M286" s="5"/>
      <c r="T286" s="100"/>
      <c r="U286" s="7"/>
    </row>
    <row r="287" s="2" customFormat="true" ht="15" hidden="false" customHeight="false" outlineLevel="0" collapsed="false">
      <c r="I287" s="5"/>
      <c r="J287" s="211"/>
      <c r="K287" s="5"/>
      <c r="L287" s="5"/>
      <c r="M287" s="5"/>
      <c r="T287" s="78"/>
      <c r="U287" s="7"/>
    </row>
    <row r="288" s="2" customFormat="true" ht="15" hidden="false" customHeight="false" outlineLevel="0" collapsed="false">
      <c r="I288" s="209"/>
      <c r="J288" s="210"/>
      <c r="K288" s="209"/>
      <c r="L288" s="209"/>
      <c r="M288" s="5"/>
      <c r="T288" s="39"/>
      <c r="U288" s="7"/>
    </row>
    <row r="289" s="2" customFormat="true" ht="15" hidden="false" customHeight="false" outlineLevel="0" collapsed="false">
      <c r="I289" s="5"/>
      <c r="J289" s="211"/>
      <c r="K289" s="5"/>
      <c r="L289" s="5"/>
      <c r="M289" s="5"/>
      <c r="T289" s="108"/>
      <c r="U289" s="7"/>
    </row>
    <row r="290" s="2" customFormat="true" ht="15" hidden="false" customHeight="false" outlineLevel="0" collapsed="false">
      <c r="I290" s="209"/>
      <c r="J290" s="210"/>
      <c r="K290" s="209"/>
      <c r="L290" s="209"/>
      <c r="M290" s="5"/>
      <c r="T290" s="109"/>
      <c r="U290" s="7"/>
    </row>
    <row r="291" s="2" customFormat="true" ht="15" hidden="false" customHeight="false" outlineLevel="0" collapsed="false">
      <c r="I291" s="5"/>
      <c r="J291" s="211"/>
      <c r="K291" s="5"/>
      <c r="L291" s="5"/>
      <c r="M291" s="5"/>
      <c r="T291" s="108"/>
      <c r="U291" s="7"/>
    </row>
    <row r="292" s="2" customFormat="true" ht="15" hidden="false" customHeight="false" outlineLevel="0" collapsed="false">
      <c r="I292" s="209"/>
      <c r="J292" s="210"/>
      <c r="K292" s="209"/>
      <c r="L292" s="209"/>
      <c r="M292" s="5"/>
      <c r="T292" s="109"/>
      <c r="U292" s="7"/>
    </row>
    <row r="293" s="2" customFormat="true" ht="15" hidden="false" customHeight="false" outlineLevel="0" collapsed="false">
      <c r="I293" s="5"/>
      <c r="J293" s="211"/>
      <c r="K293" s="5"/>
      <c r="L293" s="5"/>
      <c r="M293" s="5"/>
      <c r="T293" s="78"/>
      <c r="U293" s="7"/>
    </row>
    <row r="294" s="2" customFormat="true" ht="15" hidden="false" customHeight="false" outlineLevel="0" collapsed="false">
      <c r="I294" s="209"/>
      <c r="J294" s="210"/>
      <c r="K294" s="209"/>
      <c r="L294" s="209"/>
      <c r="M294" s="5"/>
      <c r="T294" s="100"/>
      <c r="U294" s="7"/>
    </row>
    <row r="295" s="2" customFormat="true" ht="15" hidden="false" customHeight="false" outlineLevel="0" collapsed="false">
      <c r="I295" s="5"/>
      <c r="J295" s="211"/>
      <c r="K295" s="5"/>
      <c r="L295" s="5"/>
      <c r="M295" s="5"/>
      <c r="T295" s="78"/>
      <c r="U295" s="7"/>
    </row>
    <row r="296" s="2" customFormat="true" ht="15" hidden="false" customHeight="false" outlineLevel="0" collapsed="false">
      <c r="I296" s="209"/>
      <c r="J296" s="210"/>
      <c r="K296" s="209"/>
      <c r="L296" s="209"/>
      <c r="M296" s="5"/>
      <c r="T296" s="100"/>
      <c r="U296" s="7"/>
    </row>
    <row r="297" s="2" customFormat="true" ht="15" hidden="false" customHeight="false" outlineLevel="0" collapsed="false">
      <c r="I297" s="5"/>
      <c r="J297" s="211"/>
      <c r="K297" s="5"/>
      <c r="L297" s="5"/>
      <c r="M297" s="5"/>
      <c r="T297" s="78"/>
      <c r="U297" s="7"/>
    </row>
    <row r="298" s="2" customFormat="true" ht="15" hidden="false" customHeight="false" outlineLevel="0" collapsed="false">
      <c r="I298" s="209"/>
      <c r="J298" s="210"/>
      <c r="K298" s="209"/>
      <c r="L298" s="209"/>
      <c r="M298" s="5"/>
      <c r="T298" s="100"/>
      <c r="U298" s="7"/>
    </row>
    <row r="299" s="2" customFormat="true" ht="15" hidden="false" customHeight="false" outlineLevel="0" collapsed="false">
      <c r="I299" s="5"/>
      <c r="J299" s="211"/>
      <c r="K299" s="5"/>
      <c r="L299" s="5"/>
      <c r="M299" s="5"/>
      <c r="T299" s="78"/>
      <c r="U299" s="7"/>
    </row>
    <row r="300" s="2" customFormat="true" ht="15" hidden="false" customHeight="false" outlineLevel="0" collapsed="false">
      <c r="I300" s="209"/>
      <c r="J300" s="210"/>
      <c r="K300" s="209"/>
      <c r="L300" s="209"/>
      <c r="M300" s="5"/>
      <c r="T300" s="100"/>
      <c r="U300" s="7"/>
    </row>
    <row r="301" s="2" customFormat="true" ht="15" hidden="false" customHeight="false" outlineLevel="0" collapsed="false">
      <c r="I301" s="5"/>
      <c r="J301" s="211"/>
      <c r="K301" s="5"/>
      <c r="L301" s="5"/>
      <c r="M301" s="5"/>
      <c r="T301" s="78"/>
      <c r="U301" s="7"/>
    </row>
    <row r="302" s="2" customFormat="true" ht="15" hidden="false" customHeight="false" outlineLevel="0" collapsed="false">
      <c r="I302" s="209"/>
      <c r="J302" s="210"/>
      <c r="K302" s="209"/>
      <c r="L302" s="209"/>
      <c r="M302" s="5"/>
      <c r="T302" s="100"/>
      <c r="U302" s="7"/>
    </row>
    <row r="303" s="2" customFormat="true" ht="15" hidden="false" customHeight="false" outlineLevel="0" collapsed="false">
      <c r="I303" s="5"/>
      <c r="J303" s="211"/>
      <c r="K303" s="5"/>
      <c r="L303" s="5"/>
      <c r="M303" s="5"/>
      <c r="T303" s="78"/>
      <c r="U303" s="7"/>
    </row>
    <row r="304" s="2" customFormat="true" ht="15" hidden="false" customHeight="false" outlineLevel="0" collapsed="false">
      <c r="I304" s="209"/>
      <c r="J304" s="210"/>
      <c r="K304" s="209"/>
      <c r="L304" s="209"/>
      <c r="M304" s="5"/>
      <c r="T304" s="39"/>
      <c r="U304" s="7"/>
    </row>
    <row r="305" s="2" customFormat="true" ht="15" hidden="false" customHeight="false" outlineLevel="0" collapsed="false">
      <c r="I305" s="5"/>
      <c r="J305" s="211"/>
      <c r="K305" s="5"/>
      <c r="L305" s="5"/>
      <c r="M305" s="5"/>
      <c r="T305" s="108"/>
      <c r="U305" s="7"/>
    </row>
    <row r="306" s="2" customFormat="true" ht="15" hidden="false" customHeight="false" outlineLevel="0" collapsed="false">
      <c r="I306" s="209"/>
      <c r="J306" s="210"/>
      <c r="K306" s="209"/>
      <c r="L306" s="209"/>
      <c r="M306" s="5"/>
      <c r="T306" s="109"/>
      <c r="U306" s="7"/>
    </row>
    <row r="307" s="2" customFormat="true" ht="15" hidden="false" customHeight="false" outlineLevel="0" collapsed="false">
      <c r="I307" s="5"/>
      <c r="J307" s="211"/>
      <c r="K307" s="5"/>
      <c r="L307" s="5"/>
      <c r="M307" s="5"/>
      <c r="T307" s="108"/>
      <c r="U307" s="7"/>
    </row>
    <row r="308" s="2" customFormat="true" ht="15" hidden="false" customHeight="false" outlineLevel="0" collapsed="false">
      <c r="I308" s="209"/>
      <c r="J308" s="210"/>
      <c r="K308" s="209"/>
      <c r="L308" s="209"/>
      <c r="M308" s="5"/>
      <c r="T308" s="109"/>
      <c r="U308" s="7"/>
    </row>
    <row r="309" s="2" customFormat="true" ht="15" hidden="false" customHeight="false" outlineLevel="0" collapsed="false">
      <c r="I309" s="5"/>
      <c r="J309" s="211"/>
      <c r="K309" s="5"/>
      <c r="L309" s="5"/>
      <c r="M309" s="5"/>
      <c r="T309" s="78"/>
      <c r="U309" s="7"/>
    </row>
    <row r="310" s="2" customFormat="true" ht="15" hidden="false" customHeight="false" outlineLevel="0" collapsed="false">
      <c r="I310" s="209"/>
      <c r="J310" s="210"/>
      <c r="K310" s="209"/>
      <c r="L310" s="209"/>
      <c r="M310" s="5"/>
      <c r="T310" s="100"/>
      <c r="U310" s="7"/>
    </row>
    <row r="311" s="2" customFormat="true" ht="15" hidden="false" customHeight="false" outlineLevel="0" collapsed="false">
      <c r="I311" s="5"/>
      <c r="J311" s="211"/>
      <c r="K311" s="5"/>
      <c r="L311" s="5"/>
      <c r="M311" s="5"/>
      <c r="T311" s="78"/>
      <c r="U311" s="7"/>
    </row>
    <row r="312" s="2" customFormat="true" ht="15" hidden="false" customHeight="false" outlineLevel="0" collapsed="false">
      <c r="I312" s="209"/>
      <c r="J312" s="210"/>
      <c r="K312" s="209"/>
      <c r="L312" s="209"/>
      <c r="M312" s="5"/>
      <c r="T312" s="100"/>
      <c r="U312" s="7"/>
    </row>
    <row r="313" s="2" customFormat="true" ht="15" hidden="false" customHeight="false" outlineLevel="0" collapsed="false">
      <c r="I313" s="5"/>
      <c r="J313" s="211"/>
      <c r="K313" s="5"/>
      <c r="L313" s="5"/>
      <c r="M313" s="5"/>
      <c r="T313" s="78"/>
      <c r="U313" s="7"/>
    </row>
    <row r="314" s="2" customFormat="true" ht="15" hidden="false" customHeight="false" outlineLevel="0" collapsed="false">
      <c r="I314" s="209"/>
      <c r="J314" s="210"/>
      <c r="K314" s="209"/>
      <c r="L314" s="209"/>
      <c r="M314" s="5"/>
      <c r="T314" s="100"/>
      <c r="U314" s="7"/>
    </row>
    <row r="315" s="2" customFormat="true" ht="15" hidden="false" customHeight="false" outlineLevel="0" collapsed="false">
      <c r="I315" s="5"/>
      <c r="J315" s="211"/>
      <c r="K315" s="5"/>
      <c r="L315" s="5"/>
      <c r="M315" s="5"/>
      <c r="T315" s="78"/>
      <c r="U315" s="7"/>
    </row>
    <row r="316" s="2" customFormat="true" ht="15" hidden="false" customHeight="false" outlineLevel="0" collapsed="false">
      <c r="I316" s="209"/>
      <c r="J316" s="210"/>
      <c r="K316" s="209"/>
      <c r="L316" s="209"/>
      <c r="M316" s="5"/>
      <c r="T316" s="100"/>
      <c r="U316" s="7"/>
    </row>
    <row r="317" s="2" customFormat="true" ht="15" hidden="false" customHeight="false" outlineLevel="0" collapsed="false">
      <c r="I317" s="5"/>
      <c r="J317" s="211"/>
      <c r="K317" s="5"/>
      <c r="L317" s="5"/>
      <c r="M317" s="5"/>
      <c r="T317" s="78"/>
      <c r="U317" s="7"/>
    </row>
    <row r="318" s="2" customFormat="true" ht="15" hidden="false" customHeight="false" outlineLevel="0" collapsed="false">
      <c r="I318" s="209"/>
      <c r="J318" s="210"/>
      <c r="K318" s="209"/>
      <c r="L318" s="209"/>
      <c r="M318" s="5"/>
      <c r="T318" s="100"/>
      <c r="U318" s="7"/>
    </row>
    <row r="319" s="2" customFormat="true" ht="15" hidden="false" customHeight="false" outlineLevel="0" collapsed="false">
      <c r="I319" s="5"/>
      <c r="J319" s="211"/>
      <c r="K319" s="5"/>
      <c r="L319" s="5"/>
      <c r="M319" s="5"/>
      <c r="T319" s="78"/>
      <c r="U319" s="7"/>
    </row>
    <row r="320" s="2" customFormat="true" ht="15" hidden="false" customHeight="false" outlineLevel="0" collapsed="false">
      <c r="I320" s="209"/>
      <c r="J320" s="210"/>
      <c r="K320" s="209"/>
      <c r="L320" s="209"/>
      <c r="M320" s="5"/>
      <c r="T320" s="39"/>
      <c r="U320" s="7"/>
    </row>
    <row r="321" s="2" customFormat="true" ht="15" hidden="false" customHeight="false" outlineLevel="0" collapsed="false">
      <c r="I321" s="5"/>
      <c r="J321" s="211"/>
      <c r="K321" s="5"/>
      <c r="L321" s="5"/>
      <c r="M321" s="5"/>
      <c r="T321" s="108"/>
      <c r="U321" s="7"/>
    </row>
    <row r="322" s="2" customFormat="true" ht="15" hidden="false" customHeight="false" outlineLevel="0" collapsed="false">
      <c r="I322" s="209"/>
      <c r="J322" s="210"/>
      <c r="K322" s="209"/>
      <c r="L322" s="209"/>
      <c r="M322" s="5"/>
      <c r="T322" s="109"/>
      <c r="U322" s="7"/>
    </row>
    <row r="323" s="2" customFormat="true" ht="15" hidden="false" customHeight="false" outlineLevel="0" collapsed="false">
      <c r="I323" s="5"/>
      <c r="J323" s="211"/>
      <c r="K323" s="5"/>
      <c r="L323" s="5"/>
      <c r="M323" s="5"/>
      <c r="T323" s="108"/>
      <c r="U323" s="7"/>
    </row>
    <row r="324" s="2" customFormat="true" ht="15" hidden="false" customHeight="false" outlineLevel="0" collapsed="false">
      <c r="I324" s="209"/>
      <c r="J324" s="210"/>
      <c r="K324" s="209"/>
      <c r="L324" s="209"/>
      <c r="M324" s="5"/>
      <c r="T324" s="109"/>
      <c r="U324" s="7"/>
    </row>
    <row r="325" s="2" customFormat="true" ht="15" hidden="false" customHeight="false" outlineLevel="0" collapsed="false">
      <c r="I325" s="5"/>
      <c r="J325" s="211"/>
      <c r="K325" s="5"/>
      <c r="L325" s="5"/>
      <c r="M325" s="5"/>
      <c r="T325" s="78"/>
      <c r="U325" s="7"/>
    </row>
    <row r="326" s="2" customFormat="true" ht="15" hidden="false" customHeight="false" outlineLevel="0" collapsed="false">
      <c r="I326" s="209"/>
      <c r="J326" s="210"/>
      <c r="K326" s="209"/>
      <c r="L326" s="209"/>
      <c r="M326" s="5"/>
      <c r="T326" s="100"/>
      <c r="U326" s="7"/>
    </row>
    <row r="327" s="2" customFormat="true" ht="15" hidden="false" customHeight="false" outlineLevel="0" collapsed="false">
      <c r="I327" s="5"/>
      <c r="J327" s="211"/>
      <c r="K327" s="5"/>
      <c r="L327" s="5"/>
      <c r="M327" s="5"/>
      <c r="T327" s="78"/>
      <c r="U327" s="7"/>
    </row>
    <row r="328" s="2" customFormat="true" ht="15" hidden="false" customHeight="false" outlineLevel="0" collapsed="false">
      <c r="I328" s="209"/>
      <c r="J328" s="210"/>
      <c r="K328" s="209"/>
      <c r="L328" s="209"/>
      <c r="M328" s="5"/>
      <c r="T328" s="100"/>
      <c r="U328" s="7"/>
    </row>
    <row r="329" s="2" customFormat="true" ht="15" hidden="false" customHeight="false" outlineLevel="0" collapsed="false">
      <c r="I329" s="5"/>
      <c r="J329" s="211"/>
      <c r="K329" s="5"/>
      <c r="L329" s="5"/>
      <c r="M329" s="5"/>
      <c r="T329" s="78"/>
      <c r="U329" s="7"/>
    </row>
    <row r="330" s="2" customFormat="true" ht="15" hidden="false" customHeight="false" outlineLevel="0" collapsed="false">
      <c r="I330" s="209"/>
      <c r="J330" s="210"/>
      <c r="K330" s="209"/>
      <c r="L330" s="209"/>
      <c r="M330" s="5"/>
      <c r="T330" s="100"/>
      <c r="U330" s="7"/>
    </row>
    <row r="331" s="2" customFormat="true" ht="15" hidden="false" customHeight="false" outlineLevel="0" collapsed="false">
      <c r="I331" s="5"/>
      <c r="J331" s="211"/>
      <c r="K331" s="5"/>
      <c r="L331" s="5"/>
      <c r="M331" s="5"/>
      <c r="T331" s="78"/>
      <c r="U331" s="7"/>
    </row>
    <row r="332" s="2" customFormat="true" ht="15" hidden="false" customHeight="false" outlineLevel="0" collapsed="false">
      <c r="I332" s="209"/>
      <c r="J332" s="210"/>
      <c r="K332" s="209"/>
      <c r="L332" s="209"/>
      <c r="M332" s="5"/>
      <c r="T332" s="100"/>
      <c r="U332" s="7"/>
    </row>
    <row r="333" s="2" customFormat="true" ht="15" hidden="false" customHeight="false" outlineLevel="0" collapsed="false">
      <c r="I333" s="5"/>
      <c r="J333" s="211"/>
      <c r="K333" s="5"/>
      <c r="L333" s="5"/>
      <c r="M333" s="5"/>
      <c r="T333" s="78"/>
      <c r="U333" s="7"/>
    </row>
    <row r="334" s="2" customFormat="true" ht="15" hidden="false" customHeight="false" outlineLevel="0" collapsed="false">
      <c r="I334" s="209"/>
      <c r="J334" s="210"/>
      <c r="K334" s="209"/>
      <c r="L334" s="209"/>
      <c r="M334" s="5"/>
      <c r="T334" s="100"/>
      <c r="U334" s="7"/>
    </row>
    <row r="335" s="2" customFormat="true" ht="15" hidden="false" customHeight="false" outlineLevel="0" collapsed="false">
      <c r="I335" s="5"/>
      <c r="J335" s="211"/>
      <c r="K335" s="5"/>
      <c r="L335" s="5"/>
      <c r="M335" s="5"/>
      <c r="T335" s="78"/>
      <c r="U335" s="7"/>
    </row>
    <row r="336" s="2" customFormat="true" ht="15" hidden="false" customHeight="false" outlineLevel="0" collapsed="false">
      <c r="I336" s="209"/>
      <c r="J336" s="210"/>
      <c r="K336" s="209"/>
      <c r="L336" s="209"/>
      <c r="M336" s="5"/>
      <c r="T336" s="39"/>
      <c r="U336" s="7"/>
    </row>
    <row r="337" s="2" customFormat="true" ht="15" hidden="false" customHeight="false" outlineLevel="0" collapsed="false">
      <c r="I337" s="5"/>
      <c r="J337" s="211"/>
      <c r="K337" s="5"/>
      <c r="L337" s="5"/>
      <c r="M337" s="5"/>
      <c r="T337" s="108"/>
      <c r="U337" s="7"/>
    </row>
    <row r="338" s="2" customFormat="true" ht="15" hidden="false" customHeight="false" outlineLevel="0" collapsed="false">
      <c r="I338" s="209"/>
      <c r="J338" s="210"/>
      <c r="K338" s="209"/>
      <c r="L338" s="209"/>
      <c r="M338" s="5"/>
      <c r="T338" s="109"/>
      <c r="U338" s="7"/>
    </row>
    <row r="339" s="2" customFormat="true" ht="15" hidden="false" customHeight="false" outlineLevel="0" collapsed="false">
      <c r="I339" s="5"/>
      <c r="J339" s="211"/>
      <c r="K339" s="5"/>
      <c r="L339" s="5"/>
      <c r="M339" s="5"/>
      <c r="T339" s="108"/>
      <c r="U339" s="7"/>
    </row>
    <row r="340" s="2" customFormat="true" ht="15" hidden="false" customHeight="false" outlineLevel="0" collapsed="false">
      <c r="I340" s="209"/>
      <c r="J340" s="210"/>
      <c r="K340" s="209"/>
      <c r="L340" s="209"/>
      <c r="M340" s="5"/>
      <c r="T340" s="109"/>
      <c r="U340" s="7"/>
    </row>
    <row r="341" s="2" customFormat="true" ht="15" hidden="false" customHeight="false" outlineLevel="0" collapsed="false">
      <c r="I341" s="5"/>
      <c r="J341" s="211"/>
      <c r="K341" s="5"/>
      <c r="L341" s="5"/>
      <c r="M341" s="5"/>
      <c r="T341" s="78"/>
      <c r="U341" s="7"/>
    </row>
    <row r="342" s="2" customFormat="true" ht="15" hidden="false" customHeight="false" outlineLevel="0" collapsed="false">
      <c r="I342" s="209"/>
      <c r="J342" s="210"/>
      <c r="K342" s="209"/>
      <c r="L342" s="209"/>
      <c r="M342" s="5"/>
      <c r="T342" s="100"/>
      <c r="U342" s="7"/>
    </row>
    <row r="343" s="2" customFormat="true" ht="15" hidden="false" customHeight="false" outlineLevel="0" collapsed="false">
      <c r="I343" s="5"/>
      <c r="J343" s="211"/>
      <c r="K343" s="5"/>
      <c r="L343" s="5"/>
      <c r="M343" s="5"/>
      <c r="T343" s="78"/>
      <c r="U343" s="7"/>
    </row>
    <row r="344" s="2" customFormat="true" ht="15" hidden="false" customHeight="false" outlineLevel="0" collapsed="false">
      <c r="I344" s="209"/>
      <c r="J344" s="210"/>
      <c r="K344" s="209"/>
      <c r="L344" s="209"/>
      <c r="M344" s="5"/>
      <c r="T344" s="100"/>
      <c r="U344" s="7"/>
    </row>
    <row r="345" s="2" customFormat="true" ht="15" hidden="false" customHeight="false" outlineLevel="0" collapsed="false">
      <c r="I345" s="5"/>
      <c r="J345" s="211"/>
      <c r="K345" s="5"/>
      <c r="L345" s="5"/>
      <c r="M345" s="5"/>
      <c r="T345" s="78"/>
      <c r="U345" s="7"/>
    </row>
    <row r="346" s="2" customFormat="true" ht="15" hidden="false" customHeight="false" outlineLevel="0" collapsed="false">
      <c r="I346" s="209"/>
      <c r="J346" s="210"/>
      <c r="K346" s="209"/>
      <c r="L346" s="209"/>
      <c r="M346" s="5"/>
      <c r="T346" s="100"/>
      <c r="U346" s="7"/>
    </row>
    <row r="347" s="2" customFormat="true" ht="15" hidden="false" customHeight="false" outlineLevel="0" collapsed="false">
      <c r="I347" s="5"/>
      <c r="J347" s="211"/>
      <c r="K347" s="5"/>
      <c r="L347" s="5"/>
      <c r="M347" s="5"/>
      <c r="T347" s="78"/>
      <c r="U347" s="7"/>
    </row>
    <row r="348" s="2" customFormat="true" ht="15" hidden="false" customHeight="false" outlineLevel="0" collapsed="false">
      <c r="I348" s="209"/>
      <c r="J348" s="210"/>
      <c r="K348" s="209"/>
      <c r="L348" s="209"/>
      <c r="M348" s="5"/>
      <c r="T348" s="100"/>
      <c r="U348" s="7"/>
    </row>
    <row r="349" s="2" customFormat="true" ht="15" hidden="false" customHeight="false" outlineLevel="0" collapsed="false">
      <c r="I349" s="5"/>
      <c r="J349" s="211"/>
      <c r="K349" s="5"/>
      <c r="L349" s="5"/>
      <c r="M349" s="5"/>
      <c r="T349" s="78"/>
      <c r="U349" s="7"/>
    </row>
    <row r="350" s="2" customFormat="true" ht="15" hidden="false" customHeight="false" outlineLevel="0" collapsed="false">
      <c r="I350" s="209"/>
      <c r="J350" s="210"/>
      <c r="K350" s="209"/>
      <c r="L350" s="209"/>
      <c r="M350" s="5"/>
      <c r="T350" s="100"/>
      <c r="U350" s="7"/>
    </row>
    <row r="351" s="2" customFormat="true" ht="15" hidden="false" customHeight="false" outlineLevel="0" collapsed="false">
      <c r="I351" s="5"/>
      <c r="J351" s="211"/>
      <c r="K351" s="5"/>
      <c r="L351" s="5"/>
      <c r="M351" s="5"/>
      <c r="T351" s="78"/>
      <c r="U351" s="7"/>
    </row>
    <row r="352" s="2" customFormat="true" ht="15" hidden="false" customHeight="false" outlineLevel="0" collapsed="false">
      <c r="I352" s="209"/>
      <c r="J352" s="210"/>
      <c r="K352" s="209"/>
      <c r="L352" s="209"/>
      <c r="M352" s="5"/>
      <c r="T352" s="39"/>
      <c r="U352" s="7"/>
    </row>
    <row r="353" s="2" customFormat="true" ht="15" hidden="false" customHeight="false" outlineLevel="0" collapsed="false">
      <c r="I353" s="5"/>
      <c r="J353" s="211"/>
      <c r="K353" s="5"/>
      <c r="L353" s="5"/>
      <c r="M353" s="5"/>
      <c r="T353" s="108"/>
      <c r="U353" s="7"/>
    </row>
    <row r="354" s="2" customFormat="true" ht="15" hidden="false" customHeight="false" outlineLevel="0" collapsed="false">
      <c r="I354" s="209"/>
      <c r="J354" s="210"/>
      <c r="K354" s="209"/>
      <c r="L354" s="209"/>
      <c r="M354" s="5"/>
      <c r="T354" s="109"/>
      <c r="U354" s="7"/>
    </row>
    <row r="355" s="2" customFormat="true" ht="15" hidden="false" customHeight="false" outlineLevel="0" collapsed="false">
      <c r="I355" s="5"/>
      <c r="J355" s="211"/>
      <c r="K355" s="5"/>
      <c r="L355" s="5"/>
      <c r="M355" s="5"/>
      <c r="T355" s="108"/>
      <c r="U355" s="7"/>
    </row>
    <row r="356" s="2" customFormat="true" ht="15" hidden="false" customHeight="false" outlineLevel="0" collapsed="false">
      <c r="I356" s="209"/>
      <c r="J356" s="210"/>
      <c r="K356" s="209"/>
      <c r="L356" s="209"/>
      <c r="M356" s="5"/>
      <c r="T356" s="109"/>
      <c r="U356" s="7"/>
    </row>
    <row r="357" s="2" customFormat="true" ht="15" hidden="false" customHeight="false" outlineLevel="0" collapsed="false">
      <c r="I357" s="5"/>
      <c r="J357" s="211"/>
      <c r="K357" s="5"/>
      <c r="L357" s="5"/>
      <c r="M357" s="5"/>
      <c r="T357" s="78"/>
      <c r="U357" s="7"/>
    </row>
    <row r="358" s="2" customFormat="true" ht="15" hidden="false" customHeight="false" outlineLevel="0" collapsed="false">
      <c r="I358" s="209"/>
      <c r="J358" s="210"/>
      <c r="K358" s="209"/>
      <c r="L358" s="209"/>
      <c r="M358" s="5"/>
      <c r="T358" s="100"/>
      <c r="U358" s="7"/>
    </row>
    <row r="359" s="2" customFormat="true" ht="15" hidden="false" customHeight="false" outlineLevel="0" collapsed="false">
      <c r="I359" s="5"/>
      <c r="J359" s="211"/>
      <c r="K359" s="5"/>
      <c r="L359" s="5"/>
      <c r="M359" s="5"/>
      <c r="T359" s="78"/>
      <c r="U359" s="7"/>
    </row>
    <row r="360" s="2" customFormat="true" ht="15" hidden="false" customHeight="false" outlineLevel="0" collapsed="false">
      <c r="I360" s="209"/>
      <c r="J360" s="210"/>
      <c r="K360" s="209"/>
      <c r="L360" s="209"/>
      <c r="M360" s="5"/>
      <c r="T360" s="100"/>
      <c r="U360" s="7"/>
    </row>
    <row r="361" s="2" customFormat="true" ht="15" hidden="false" customHeight="false" outlineLevel="0" collapsed="false">
      <c r="I361" s="5"/>
      <c r="J361" s="211"/>
      <c r="K361" s="5"/>
      <c r="L361" s="5"/>
      <c r="M361" s="5"/>
      <c r="T361" s="78"/>
      <c r="U361" s="7"/>
    </row>
    <row r="362" s="2" customFormat="true" ht="15" hidden="false" customHeight="false" outlineLevel="0" collapsed="false">
      <c r="I362" s="209"/>
      <c r="J362" s="210"/>
      <c r="K362" s="209"/>
      <c r="L362" s="209"/>
      <c r="M362" s="5"/>
      <c r="T362" s="100"/>
      <c r="U362" s="7"/>
    </row>
    <row r="363" s="2" customFormat="true" ht="15" hidden="false" customHeight="false" outlineLevel="0" collapsed="false">
      <c r="I363" s="5"/>
      <c r="J363" s="211"/>
      <c r="K363" s="5"/>
      <c r="L363" s="5"/>
      <c r="M363" s="5"/>
      <c r="T363" s="78"/>
      <c r="U363" s="7"/>
    </row>
    <row r="364" s="2" customFormat="true" ht="15" hidden="false" customHeight="false" outlineLevel="0" collapsed="false">
      <c r="I364" s="209"/>
      <c r="J364" s="210"/>
      <c r="K364" s="209"/>
      <c r="L364" s="209"/>
      <c r="M364" s="5"/>
      <c r="T364" s="100"/>
      <c r="U364" s="7"/>
    </row>
    <row r="365" s="2" customFormat="true" ht="15" hidden="false" customHeight="false" outlineLevel="0" collapsed="false">
      <c r="I365" s="5"/>
      <c r="J365" s="211"/>
      <c r="K365" s="5"/>
      <c r="L365" s="5"/>
      <c r="M365" s="5"/>
      <c r="T365" s="78"/>
      <c r="U365" s="7"/>
    </row>
    <row r="366" s="2" customFormat="true" ht="15" hidden="false" customHeight="false" outlineLevel="0" collapsed="false">
      <c r="I366" s="209"/>
      <c r="J366" s="210"/>
      <c r="K366" s="209"/>
      <c r="L366" s="209"/>
      <c r="M366" s="5"/>
      <c r="T366" s="100"/>
      <c r="U366" s="7"/>
    </row>
    <row r="367" s="2" customFormat="true" ht="15" hidden="false" customHeight="false" outlineLevel="0" collapsed="false">
      <c r="I367" s="5"/>
      <c r="J367" s="211"/>
      <c r="K367" s="5"/>
      <c r="L367" s="5"/>
      <c r="M367" s="5"/>
      <c r="T367" s="78"/>
      <c r="U367" s="7"/>
    </row>
    <row r="368" s="2" customFormat="true" ht="15" hidden="false" customHeight="false" outlineLevel="0" collapsed="false">
      <c r="I368" s="209"/>
      <c r="J368" s="210"/>
      <c r="K368" s="209"/>
      <c r="L368" s="209"/>
      <c r="M368" s="5"/>
      <c r="T368" s="39"/>
      <c r="U368" s="7"/>
    </row>
    <row r="369" s="2" customFormat="true" ht="15" hidden="false" customHeight="false" outlineLevel="0" collapsed="false">
      <c r="I369" s="5"/>
      <c r="J369" s="211"/>
      <c r="K369" s="5"/>
      <c r="L369" s="5"/>
      <c r="M369" s="5"/>
      <c r="T369" s="108"/>
      <c r="U369" s="7"/>
    </row>
    <row r="370" s="2" customFormat="true" ht="15" hidden="false" customHeight="false" outlineLevel="0" collapsed="false">
      <c r="I370" s="209"/>
      <c r="J370" s="210"/>
      <c r="K370" s="209"/>
      <c r="L370" s="209"/>
      <c r="M370" s="5"/>
      <c r="T370" s="109"/>
      <c r="U370" s="7"/>
    </row>
    <row r="371" s="2" customFormat="true" ht="15" hidden="false" customHeight="false" outlineLevel="0" collapsed="false">
      <c r="I371" s="5"/>
      <c r="J371" s="211"/>
      <c r="K371" s="5"/>
      <c r="L371" s="5"/>
      <c r="M371" s="5"/>
      <c r="T371" s="108"/>
      <c r="U371" s="7"/>
    </row>
    <row r="372" s="2" customFormat="true" ht="15" hidden="false" customHeight="false" outlineLevel="0" collapsed="false">
      <c r="I372" s="209"/>
      <c r="J372" s="210"/>
      <c r="K372" s="209"/>
      <c r="L372" s="209"/>
      <c r="M372" s="5"/>
      <c r="T372" s="109"/>
      <c r="U372" s="7"/>
    </row>
    <row r="373" s="2" customFormat="true" ht="15" hidden="false" customHeight="false" outlineLevel="0" collapsed="false">
      <c r="I373" s="5"/>
      <c r="J373" s="211"/>
      <c r="K373" s="5"/>
      <c r="L373" s="5"/>
      <c r="M373" s="5"/>
      <c r="T373" s="78"/>
      <c r="U373" s="7"/>
    </row>
    <row r="374" s="2" customFormat="true" ht="15" hidden="false" customHeight="false" outlineLevel="0" collapsed="false">
      <c r="I374" s="209"/>
      <c r="J374" s="210"/>
      <c r="K374" s="209"/>
      <c r="L374" s="209"/>
      <c r="M374" s="5"/>
      <c r="T374" s="100"/>
      <c r="U374" s="7"/>
    </row>
    <row r="375" s="2" customFormat="true" ht="15" hidden="false" customHeight="false" outlineLevel="0" collapsed="false">
      <c r="I375" s="5"/>
      <c r="J375" s="211"/>
      <c r="K375" s="5"/>
      <c r="L375" s="5"/>
      <c r="M375" s="5"/>
      <c r="T375" s="78"/>
      <c r="U375" s="7"/>
    </row>
    <row r="376" s="2" customFormat="true" ht="15" hidden="false" customHeight="false" outlineLevel="0" collapsed="false">
      <c r="I376" s="209"/>
      <c r="J376" s="210"/>
      <c r="K376" s="209"/>
      <c r="L376" s="209"/>
      <c r="M376" s="5"/>
      <c r="T376" s="100"/>
      <c r="U376" s="7"/>
    </row>
    <row r="377" s="2" customFormat="true" ht="15" hidden="false" customHeight="false" outlineLevel="0" collapsed="false">
      <c r="I377" s="5"/>
      <c r="J377" s="211"/>
      <c r="K377" s="5"/>
      <c r="L377" s="5"/>
      <c r="M377" s="5"/>
      <c r="T377" s="78"/>
      <c r="U377" s="7"/>
    </row>
    <row r="378" s="2" customFormat="true" ht="15" hidden="false" customHeight="false" outlineLevel="0" collapsed="false">
      <c r="I378" s="209"/>
      <c r="J378" s="210"/>
      <c r="K378" s="209"/>
      <c r="L378" s="209"/>
      <c r="M378" s="5"/>
      <c r="T378" s="100"/>
      <c r="U378" s="7"/>
    </row>
    <row r="379" s="2" customFormat="true" ht="15" hidden="false" customHeight="false" outlineLevel="0" collapsed="false">
      <c r="I379" s="5"/>
      <c r="J379" s="211"/>
      <c r="K379" s="5"/>
      <c r="L379" s="5"/>
      <c r="M379" s="5"/>
      <c r="T379" s="78"/>
      <c r="U379" s="7"/>
    </row>
    <row r="380" s="2" customFormat="true" ht="15" hidden="false" customHeight="false" outlineLevel="0" collapsed="false">
      <c r="I380" s="209"/>
      <c r="J380" s="210"/>
      <c r="K380" s="209"/>
      <c r="L380" s="209"/>
      <c r="M380" s="5"/>
      <c r="T380" s="100"/>
      <c r="U380" s="7"/>
    </row>
    <row r="381" s="2" customFormat="true" ht="15" hidden="false" customHeight="false" outlineLevel="0" collapsed="false">
      <c r="I381" s="5"/>
      <c r="J381" s="211"/>
      <c r="K381" s="5"/>
      <c r="L381" s="5"/>
      <c r="M381" s="5"/>
      <c r="T381" s="78"/>
      <c r="U381" s="7"/>
    </row>
    <row r="382" s="2" customFormat="true" ht="15" hidden="false" customHeight="false" outlineLevel="0" collapsed="false">
      <c r="I382" s="209"/>
      <c r="J382" s="210"/>
      <c r="K382" s="209"/>
      <c r="L382" s="209"/>
      <c r="M382" s="5"/>
      <c r="T382" s="100"/>
      <c r="U382" s="7"/>
    </row>
    <row r="383" s="2" customFormat="true" ht="15" hidden="false" customHeight="false" outlineLevel="0" collapsed="false">
      <c r="I383" s="5"/>
      <c r="J383" s="211"/>
      <c r="K383" s="5"/>
      <c r="L383" s="5"/>
      <c r="M383" s="5"/>
      <c r="T383" s="78"/>
      <c r="U383" s="7"/>
    </row>
    <row r="384" s="2" customFormat="true" ht="15" hidden="false" customHeight="false" outlineLevel="0" collapsed="false">
      <c r="I384" s="209"/>
      <c r="J384" s="210"/>
      <c r="K384" s="209"/>
      <c r="L384" s="209"/>
      <c r="M384" s="5"/>
      <c r="T384" s="39"/>
      <c r="U384" s="7"/>
    </row>
    <row r="385" s="2" customFormat="true" ht="15" hidden="false" customHeight="false" outlineLevel="0" collapsed="false">
      <c r="I385" s="5"/>
      <c r="J385" s="211"/>
      <c r="K385" s="5"/>
      <c r="L385" s="5"/>
      <c r="M385" s="5"/>
      <c r="T385" s="108"/>
      <c r="U385" s="7"/>
    </row>
    <row r="386" s="2" customFormat="true" ht="15" hidden="false" customHeight="false" outlineLevel="0" collapsed="false">
      <c r="I386" s="209"/>
      <c r="J386" s="210"/>
      <c r="K386" s="209"/>
      <c r="L386" s="209"/>
      <c r="M386" s="5"/>
      <c r="T386" s="109"/>
      <c r="U386" s="7"/>
    </row>
    <row r="387" s="2" customFormat="true" ht="15" hidden="false" customHeight="false" outlineLevel="0" collapsed="false">
      <c r="I387" s="5"/>
      <c r="J387" s="211"/>
      <c r="K387" s="5"/>
      <c r="L387" s="5"/>
      <c r="M387" s="5"/>
      <c r="T387" s="108"/>
      <c r="U387" s="7"/>
    </row>
    <row r="388" s="2" customFormat="true" ht="15" hidden="false" customHeight="false" outlineLevel="0" collapsed="false">
      <c r="I388" s="209"/>
      <c r="J388" s="210"/>
      <c r="K388" s="209"/>
      <c r="L388" s="209"/>
      <c r="M388" s="5"/>
      <c r="T388" s="109"/>
      <c r="U388" s="7"/>
    </row>
    <row r="389" s="2" customFormat="true" ht="15" hidden="false" customHeight="false" outlineLevel="0" collapsed="false">
      <c r="I389" s="5"/>
      <c r="J389" s="211"/>
      <c r="K389" s="5"/>
      <c r="L389" s="5"/>
      <c r="M389" s="5"/>
      <c r="T389" s="78"/>
      <c r="U389" s="7"/>
    </row>
    <row r="390" s="2" customFormat="true" ht="15" hidden="false" customHeight="false" outlineLevel="0" collapsed="false">
      <c r="I390" s="209"/>
      <c r="J390" s="210"/>
      <c r="K390" s="209"/>
      <c r="L390" s="209"/>
      <c r="M390" s="5"/>
      <c r="T390" s="100"/>
      <c r="U390" s="7"/>
    </row>
    <row r="391" s="2" customFormat="true" ht="15" hidden="false" customHeight="false" outlineLevel="0" collapsed="false">
      <c r="I391" s="5"/>
      <c r="J391" s="211"/>
      <c r="K391" s="5"/>
      <c r="L391" s="5"/>
      <c r="M391" s="5"/>
      <c r="T391" s="78"/>
      <c r="U391" s="7"/>
    </row>
    <row r="392" s="2" customFormat="true" ht="15" hidden="false" customHeight="false" outlineLevel="0" collapsed="false">
      <c r="I392" s="209"/>
      <c r="J392" s="210"/>
      <c r="K392" s="209"/>
      <c r="L392" s="209"/>
      <c r="M392" s="5"/>
      <c r="T392" s="100"/>
      <c r="U392" s="7"/>
    </row>
    <row r="393" s="2" customFormat="true" ht="15" hidden="false" customHeight="false" outlineLevel="0" collapsed="false">
      <c r="I393" s="5"/>
      <c r="J393" s="211"/>
      <c r="K393" s="5"/>
      <c r="L393" s="5"/>
      <c r="M393" s="5"/>
      <c r="T393" s="78"/>
      <c r="U393" s="7"/>
    </row>
    <row r="394" s="2" customFormat="true" ht="15" hidden="false" customHeight="false" outlineLevel="0" collapsed="false">
      <c r="I394" s="209"/>
      <c r="J394" s="210"/>
      <c r="K394" s="209"/>
      <c r="L394" s="209"/>
      <c r="M394" s="5"/>
      <c r="T394" s="100"/>
      <c r="U394" s="7"/>
    </row>
    <row r="395" s="2" customFormat="true" ht="15" hidden="false" customHeight="false" outlineLevel="0" collapsed="false">
      <c r="I395" s="5"/>
      <c r="J395" s="211"/>
      <c r="K395" s="5"/>
      <c r="L395" s="5"/>
      <c r="M395" s="5"/>
      <c r="T395" s="78"/>
      <c r="U395" s="7"/>
    </row>
    <row r="396" s="2" customFormat="true" ht="15" hidden="false" customHeight="false" outlineLevel="0" collapsed="false">
      <c r="I396" s="209"/>
      <c r="J396" s="210"/>
      <c r="K396" s="209"/>
      <c r="L396" s="209"/>
      <c r="M396" s="5"/>
      <c r="T396" s="100"/>
      <c r="U396" s="7"/>
    </row>
    <row r="397" s="2" customFormat="true" ht="15" hidden="false" customHeight="false" outlineLevel="0" collapsed="false">
      <c r="I397" s="5"/>
      <c r="J397" s="211"/>
      <c r="K397" s="5"/>
      <c r="L397" s="5"/>
      <c r="M397" s="5"/>
      <c r="T397" s="78"/>
      <c r="U397" s="7"/>
    </row>
    <row r="398" s="2" customFormat="true" ht="15" hidden="false" customHeight="false" outlineLevel="0" collapsed="false">
      <c r="I398" s="209"/>
      <c r="J398" s="210"/>
      <c r="K398" s="209"/>
      <c r="L398" s="209"/>
      <c r="M398" s="5"/>
      <c r="T398" s="100"/>
      <c r="U398" s="7"/>
    </row>
    <row r="399" s="2" customFormat="true" ht="15" hidden="false" customHeight="false" outlineLevel="0" collapsed="false">
      <c r="I399" s="5"/>
      <c r="J399" s="211"/>
      <c r="K399" s="5"/>
      <c r="L399" s="5"/>
      <c r="M399" s="5"/>
      <c r="T399" s="78"/>
      <c r="U399" s="7"/>
    </row>
    <row r="400" s="2" customFormat="true" ht="15" hidden="false" customHeight="false" outlineLevel="0" collapsed="false">
      <c r="I400" s="209"/>
      <c r="J400" s="210"/>
      <c r="K400" s="209"/>
      <c r="L400" s="209"/>
      <c r="M400" s="5"/>
      <c r="T400" s="39"/>
      <c r="U400" s="7"/>
    </row>
    <row r="401" s="2" customFormat="true" ht="15" hidden="false" customHeight="false" outlineLevel="0" collapsed="false">
      <c r="I401" s="5"/>
      <c r="J401" s="211"/>
      <c r="K401" s="5"/>
      <c r="L401" s="5"/>
      <c r="M401" s="5"/>
      <c r="T401" s="108"/>
      <c r="U401" s="7"/>
    </row>
    <row r="402" s="2" customFormat="true" ht="15" hidden="false" customHeight="false" outlineLevel="0" collapsed="false">
      <c r="I402" s="209"/>
      <c r="J402" s="210"/>
      <c r="K402" s="209"/>
      <c r="L402" s="209"/>
      <c r="M402" s="5"/>
      <c r="T402" s="109"/>
      <c r="U402" s="7"/>
    </row>
    <row r="403" s="2" customFormat="true" ht="15" hidden="false" customHeight="false" outlineLevel="0" collapsed="false">
      <c r="I403" s="5"/>
      <c r="J403" s="211"/>
      <c r="K403" s="5"/>
      <c r="L403" s="5"/>
      <c r="M403" s="5"/>
      <c r="T403" s="108"/>
      <c r="U403" s="7"/>
    </row>
    <row r="404" s="2" customFormat="true" ht="15" hidden="false" customHeight="false" outlineLevel="0" collapsed="false">
      <c r="I404" s="209"/>
      <c r="J404" s="210"/>
      <c r="K404" s="209"/>
      <c r="L404" s="209"/>
      <c r="M404" s="5"/>
      <c r="T404" s="109"/>
      <c r="U404" s="7"/>
    </row>
    <row r="405" s="2" customFormat="true" ht="15" hidden="false" customHeight="false" outlineLevel="0" collapsed="false">
      <c r="I405" s="5"/>
      <c r="J405" s="211"/>
      <c r="K405" s="5"/>
      <c r="L405" s="5"/>
      <c r="M405" s="5"/>
      <c r="T405" s="78"/>
      <c r="U405" s="7"/>
    </row>
    <row r="406" s="2" customFormat="true" ht="15" hidden="false" customHeight="false" outlineLevel="0" collapsed="false">
      <c r="I406" s="209"/>
      <c r="J406" s="210"/>
      <c r="K406" s="209"/>
      <c r="L406" s="209"/>
      <c r="M406" s="5"/>
      <c r="T406" s="100"/>
      <c r="U406" s="7"/>
    </row>
    <row r="407" s="2" customFormat="true" ht="15" hidden="false" customHeight="false" outlineLevel="0" collapsed="false">
      <c r="I407" s="5"/>
      <c r="J407" s="211"/>
      <c r="K407" s="5"/>
      <c r="L407" s="5"/>
      <c r="M407" s="5"/>
      <c r="T407" s="78"/>
      <c r="U407" s="7"/>
    </row>
    <row r="408" s="2" customFormat="true" ht="15" hidden="false" customHeight="false" outlineLevel="0" collapsed="false">
      <c r="I408" s="209"/>
      <c r="J408" s="210"/>
      <c r="K408" s="209"/>
      <c r="L408" s="209"/>
      <c r="M408" s="5"/>
      <c r="T408" s="100"/>
      <c r="U408" s="7"/>
    </row>
    <row r="409" s="2" customFormat="true" ht="15" hidden="false" customHeight="false" outlineLevel="0" collapsed="false">
      <c r="I409" s="5"/>
      <c r="J409" s="211"/>
      <c r="K409" s="5"/>
      <c r="L409" s="5"/>
      <c r="M409" s="5"/>
      <c r="T409" s="78"/>
      <c r="U409" s="7"/>
    </row>
    <row r="410" s="2" customFormat="true" ht="15" hidden="false" customHeight="false" outlineLevel="0" collapsed="false">
      <c r="I410" s="209"/>
      <c r="J410" s="210"/>
      <c r="K410" s="209"/>
      <c r="L410" s="209"/>
      <c r="M410" s="5"/>
      <c r="T410" s="100"/>
      <c r="U410" s="7"/>
    </row>
    <row r="411" s="2" customFormat="true" ht="15" hidden="false" customHeight="false" outlineLevel="0" collapsed="false">
      <c r="I411" s="5"/>
      <c r="J411" s="211"/>
      <c r="K411" s="5"/>
      <c r="L411" s="5"/>
      <c r="M411" s="5"/>
      <c r="T411" s="78"/>
      <c r="U411" s="7"/>
    </row>
    <row r="412" s="2" customFormat="true" ht="15" hidden="false" customHeight="false" outlineLevel="0" collapsed="false">
      <c r="I412" s="209"/>
      <c r="J412" s="210"/>
      <c r="K412" s="209"/>
      <c r="L412" s="209"/>
      <c r="M412" s="5"/>
      <c r="T412" s="100"/>
      <c r="U412" s="7"/>
    </row>
    <row r="413" s="2" customFormat="true" ht="15" hidden="false" customHeight="false" outlineLevel="0" collapsed="false">
      <c r="I413" s="5"/>
      <c r="J413" s="211"/>
      <c r="K413" s="5"/>
      <c r="L413" s="5"/>
      <c r="M413" s="5"/>
      <c r="T413" s="78"/>
      <c r="U413" s="7"/>
    </row>
    <row r="414" s="2" customFormat="true" ht="15" hidden="false" customHeight="false" outlineLevel="0" collapsed="false">
      <c r="I414" s="209"/>
      <c r="J414" s="210"/>
      <c r="K414" s="209"/>
      <c r="L414" s="209"/>
      <c r="M414" s="5"/>
      <c r="T414" s="100"/>
      <c r="U414" s="7"/>
    </row>
    <row r="415" s="2" customFormat="true" ht="15" hidden="false" customHeight="false" outlineLevel="0" collapsed="false">
      <c r="I415" s="5"/>
      <c r="J415" s="211"/>
      <c r="K415" s="5"/>
      <c r="L415" s="5"/>
      <c r="M415" s="5"/>
      <c r="T415" s="78"/>
      <c r="U415" s="7"/>
    </row>
    <row r="416" s="2" customFormat="true" ht="15" hidden="false" customHeight="false" outlineLevel="0" collapsed="false">
      <c r="I416" s="209"/>
      <c r="J416" s="210"/>
      <c r="K416" s="209"/>
      <c r="L416" s="209"/>
      <c r="M416" s="5"/>
      <c r="T416" s="39"/>
      <c r="U416" s="7"/>
    </row>
    <row r="417" s="2" customFormat="true" ht="15" hidden="false" customHeight="false" outlineLevel="0" collapsed="false">
      <c r="I417" s="5"/>
      <c r="J417" s="211"/>
      <c r="K417" s="5"/>
      <c r="L417" s="5"/>
      <c r="M417" s="5"/>
      <c r="T417" s="108"/>
      <c r="U417" s="7"/>
    </row>
    <row r="418" s="2" customFormat="true" ht="15" hidden="false" customHeight="false" outlineLevel="0" collapsed="false">
      <c r="I418" s="209"/>
      <c r="J418" s="210"/>
      <c r="K418" s="209"/>
      <c r="L418" s="209"/>
      <c r="M418" s="5"/>
      <c r="T418" s="109"/>
      <c r="U418" s="7"/>
    </row>
    <row r="419" s="2" customFormat="true" ht="15" hidden="false" customHeight="false" outlineLevel="0" collapsed="false">
      <c r="I419" s="5"/>
      <c r="J419" s="211"/>
      <c r="K419" s="5"/>
      <c r="L419" s="5"/>
      <c r="M419" s="5"/>
      <c r="T419" s="108"/>
      <c r="U419" s="7"/>
    </row>
    <row r="420" s="2" customFormat="true" ht="15" hidden="false" customHeight="false" outlineLevel="0" collapsed="false">
      <c r="I420" s="209"/>
      <c r="J420" s="210"/>
      <c r="K420" s="209"/>
      <c r="L420" s="209"/>
      <c r="M420" s="5"/>
      <c r="T420" s="109"/>
      <c r="U420" s="7"/>
    </row>
    <row r="421" s="2" customFormat="true" ht="15" hidden="false" customHeight="false" outlineLevel="0" collapsed="false">
      <c r="I421" s="5"/>
      <c r="J421" s="211"/>
      <c r="K421" s="5"/>
      <c r="L421" s="5"/>
      <c r="M421" s="5"/>
      <c r="T421" s="78"/>
      <c r="U421" s="7"/>
    </row>
    <row r="422" s="2" customFormat="true" ht="15" hidden="false" customHeight="false" outlineLevel="0" collapsed="false">
      <c r="I422" s="209"/>
      <c r="J422" s="210"/>
      <c r="K422" s="209"/>
      <c r="L422" s="209"/>
      <c r="M422" s="5"/>
      <c r="T422" s="100"/>
      <c r="U422" s="7"/>
    </row>
    <row r="423" s="2" customFormat="true" ht="15" hidden="false" customHeight="false" outlineLevel="0" collapsed="false">
      <c r="I423" s="5"/>
      <c r="J423" s="211"/>
      <c r="K423" s="5"/>
      <c r="L423" s="5"/>
      <c r="M423" s="5"/>
      <c r="T423" s="78"/>
      <c r="U423" s="7"/>
    </row>
    <row r="424" s="2" customFormat="true" ht="15" hidden="false" customHeight="false" outlineLevel="0" collapsed="false">
      <c r="I424" s="209"/>
      <c r="J424" s="210"/>
      <c r="K424" s="209"/>
      <c r="L424" s="209"/>
      <c r="M424" s="5"/>
      <c r="T424" s="100"/>
      <c r="U424" s="7"/>
    </row>
    <row r="425" s="2" customFormat="true" ht="15" hidden="false" customHeight="false" outlineLevel="0" collapsed="false">
      <c r="I425" s="5"/>
      <c r="J425" s="211"/>
      <c r="K425" s="5"/>
      <c r="L425" s="5"/>
      <c r="M425" s="5"/>
      <c r="T425" s="78"/>
      <c r="U425" s="7"/>
    </row>
    <row r="426" s="2" customFormat="true" ht="15" hidden="false" customHeight="false" outlineLevel="0" collapsed="false">
      <c r="I426" s="209"/>
      <c r="J426" s="210"/>
      <c r="K426" s="209"/>
      <c r="L426" s="209"/>
      <c r="M426" s="5"/>
      <c r="T426" s="100"/>
      <c r="U426" s="7"/>
    </row>
    <row r="427" s="2" customFormat="true" ht="15" hidden="false" customHeight="false" outlineLevel="0" collapsed="false">
      <c r="I427" s="5"/>
      <c r="J427" s="211"/>
      <c r="K427" s="5"/>
      <c r="L427" s="5"/>
      <c r="M427" s="5"/>
      <c r="T427" s="78"/>
      <c r="U427" s="7"/>
    </row>
    <row r="428" s="2" customFormat="true" ht="15" hidden="false" customHeight="false" outlineLevel="0" collapsed="false">
      <c r="I428" s="209"/>
      <c r="J428" s="210"/>
      <c r="K428" s="209"/>
      <c r="L428" s="209"/>
      <c r="M428" s="5"/>
      <c r="T428" s="100"/>
      <c r="U428" s="7"/>
    </row>
    <row r="429" s="2" customFormat="true" ht="15" hidden="false" customHeight="false" outlineLevel="0" collapsed="false">
      <c r="I429" s="5"/>
      <c r="J429" s="211"/>
      <c r="K429" s="5"/>
      <c r="L429" s="5"/>
      <c r="M429" s="5"/>
      <c r="T429" s="78"/>
      <c r="U429" s="7"/>
    </row>
    <row r="430" s="2" customFormat="true" ht="15" hidden="false" customHeight="false" outlineLevel="0" collapsed="false">
      <c r="I430" s="209"/>
      <c r="J430" s="210"/>
      <c r="K430" s="209"/>
      <c r="L430" s="209"/>
      <c r="M430" s="5"/>
      <c r="T430" s="100"/>
      <c r="U430" s="7"/>
    </row>
    <row r="431" s="2" customFormat="true" ht="15" hidden="false" customHeight="false" outlineLevel="0" collapsed="false">
      <c r="I431" s="5"/>
      <c r="J431" s="211"/>
      <c r="K431" s="5"/>
      <c r="L431" s="5"/>
      <c r="M431" s="5"/>
      <c r="T431" s="78"/>
      <c r="U431" s="7"/>
    </row>
    <row r="432" s="2" customFormat="true" ht="15" hidden="false" customHeight="false" outlineLevel="0" collapsed="false">
      <c r="I432" s="209"/>
      <c r="J432" s="210"/>
      <c r="K432" s="209"/>
      <c r="L432" s="209"/>
      <c r="M432" s="5"/>
      <c r="T432" s="39"/>
      <c r="U432" s="7"/>
    </row>
    <row r="433" s="2" customFormat="true" ht="15" hidden="false" customHeight="false" outlineLevel="0" collapsed="false">
      <c r="I433" s="5"/>
      <c r="J433" s="211"/>
      <c r="K433" s="5"/>
      <c r="L433" s="5"/>
      <c r="M433" s="5"/>
      <c r="T433" s="108"/>
      <c r="U433" s="7"/>
    </row>
    <row r="434" s="2" customFormat="true" ht="15" hidden="false" customHeight="false" outlineLevel="0" collapsed="false">
      <c r="I434" s="209"/>
      <c r="J434" s="210"/>
      <c r="K434" s="209"/>
      <c r="L434" s="209"/>
      <c r="M434" s="5"/>
      <c r="T434" s="109"/>
      <c r="U434" s="7"/>
    </row>
    <row r="435" s="2" customFormat="true" ht="15" hidden="false" customHeight="false" outlineLevel="0" collapsed="false">
      <c r="I435" s="5"/>
      <c r="J435" s="211"/>
      <c r="K435" s="5"/>
      <c r="L435" s="5"/>
      <c r="M435" s="5"/>
      <c r="T435" s="108"/>
      <c r="U435" s="7"/>
    </row>
    <row r="436" s="2" customFormat="true" ht="15" hidden="false" customHeight="false" outlineLevel="0" collapsed="false">
      <c r="I436" s="209"/>
      <c r="J436" s="210"/>
      <c r="K436" s="209"/>
      <c r="L436" s="209"/>
      <c r="M436" s="5"/>
      <c r="T436" s="109"/>
      <c r="U436" s="7"/>
    </row>
    <row r="437" s="2" customFormat="true" ht="15" hidden="false" customHeight="false" outlineLevel="0" collapsed="false">
      <c r="I437" s="5"/>
      <c r="J437" s="211"/>
      <c r="K437" s="5"/>
      <c r="L437" s="5"/>
      <c r="M437" s="5"/>
      <c r="T437" s="78"/>
      <c r="U437" s="7"/>
    </row>
    <row r="438" s="2" customFormat="true" ht="15" hidden="false" customHeight="false" outlineLevel="0" collapsed="false">
      <c r="I438" s="209"/>
      <c r="J438" s="210"/>
      <c r="K438" s="209"/>
      <c r="L438" s="209"/>
      <c r="M438" s="5"/>
      <c r="T438" s="100"/>
      <c r="U438" s="7"/>
    </row>
    <row r="439" s="2" customFormat="true" ht="15" hidden="false" customHeight="false" outlineLevel="0" collapsed="false">
      <c r="I439" s="5"/>
      <c r="J439" s="211"/>
      <c r="K439" s="5"/>
      <c r="L439" s="5"/>
      <c r="M439" s="5"/>
      <c r="T439" s="78"/>
      <c r="U439" s="7"/>
    </row>
    <row r="440" s="2" customFormat="true" ht="15" hidden="false" customHeight="false" outlineLevel="0" collapsed="false">
      <c r="I440" s="209"/>
      <c r="J440" s="210"/>
      <c r="K440" s="209"/>
      <c r="L440" s="209"/>
      <c r="M440" s="5"/>
      <c r="T440" s="100"/>
      <c r="U440" s="7"/>
    </row>
    <row r="441" s="2" customFormat="true" ht="15" hidden="false" customHeight="false" outlineLevel="0" collapsed="false">
      <c r="I441" s="5"/>
      <c r="J441" s="211"/>
      <c r="K441" s="5"/>
      <c r="L441" s="5"/>
      <c r="M441" s="5"/>
      <c r="T441" s="78"/>
      <c r="U441" s="7"/>
    </row>
    <row r="442" s="2" customFormat="true" ht="15" hidden="false" customHeight="false" outlineLevel="0" collapsed="false">
      <c r="I442" s="209"/>
      <c r="J442" s="210"/>
      <c r="K442" s="209"/>
      <c r="L442" s="209"/>
      <c r="M442" s="5"/>
      <c r="T442" s="100"/>
      <c r="U442" s="7"/>
    </row>
    <row r="443" s="2" customFormat="true" ht="15" hidden="false" customHeight="false" outlineLevel="0" collapsed="false">
      <c r="I443" s="5"/>
      <c r="J443" s="211"/>
      <c r="K443" s="5"/>
      <c r="L443" s="5"/>
      <c r="M443" s="5"/>
      <c r="T443" s="78"/>
      <c r="U443" s="7"/>
    </row>
    <row r="444" s="2" customFormat="true" ht="15" hidden="false" customHeight="false" outlineLevel="0" collapsed="false">
      <c r="I444" s="209"/>
      <c r="J444" s="210"/>
      <c r="K444" s="209"/>
      <c r="L444" s="209"/>
      <c r="M444" s="5"/>
      <c r="T444" s="100"/>
      <c r="U444" s="7"/>
    </row>
    <row r="445" s="2" customFormat="true" ht="15" hidden="false" customHeight="false" outlineLevel="0" collapsed="false">
      <c r="I445" s="5"/>
      <c r="J445" s="211"/>
      <c r="K445" s="5"/>
      <c r="L445" s="5"/>
      <c r="M445" s="5"/>
      <c r="T445" s="78"/>
      <c r="U445" s="7"/>
    </row>
    <row r="446" s="2" customFormat="true" ht="15" hidden="false" customHeight="false" outlineLevel="0" collapsed="false">
      <c r="I446" s="209"/>
      <c r="J446" s="210"/>
      <c r="K446" s="209"/>
      <c r="L446" s="209"/>
      <c r="M446" s="5"/>
      <c r="T446" s="100"/>
      <c r="U446" s="7"/>
    </row>
    <row r="447" s="2" customFormat="true" ht="15" hidden="false" customHeight="false" outlineLevel="0" collapsed="false">
      <c r="I447" s="5"/>
      <c r="J447" s="211"/>
      <c r="K447" s="5"/>
      <c r="L447" s="5"/>
      <c r="M447" s="5"/>
      <c r="T447" s="78"/>
      <c r="U447" s="7"/>
    </row>
    <row r="448" s="2" customFormat="true" ht="15" hidden="false" customHeight="false" outlineLevel="0" collapsed="false">
      <c r="I448" s="209"/>
      <c r="J448" s="210"/>
      <c r="K448" s="209"/>
      <c r="L448" s="209"/>
      <c r="M448" s="5"/>
      <c r="T448" s="39"/>
      <c r="U448" s="7"/>
    </row>
    <row r="449" s="2" customFormat="true" ht="15" hidden="false" customHeight="false" outlineLevel="0" collapsed="false">
      <c r="I449" s="5"/>
      <c r="J449" s="211"/>
      <c r="K449" s="5"/>
      <c r="L449" s="5"/>
      <c r="M449" s="5"/>
      <c r="T449" s="108"/>
      <c r="U449" s="7"/>
    </row>
    <row r="450" s="2" customFormat="true" ht="15" hidden="false" customHeight="false" outlineLevel="0" collapsed="false">
      <c r="I450" s="209"/>
      <c r="J450" s="210"/>
      <c r="K450" s="209"/>
      <c r="L450" s="209"/>
      <c r="M450" s="5"/>
      <c r="T450" s="109"/>
      <c r="U450" s="7"/>
    </row>
    <row r="451" s="2" customFormat="true" ht="15" hidden="false" customHeight="false" outlineLevel="0" collapsed="false">
      <c r="I451" s="5"/>
      <c r="J451" s="211"/>
      <c r="K451" s="5"/>
      <c r="L451" s="5"/>
      <c r="M451" s="5"/>
      <c r="T451" s="108"/>
      <c r="U451" s="7"/>
    </row>
    <row r="452" s="2" customFormat="true" ht="15" hidden="false" customHeight="false" outlineLevel="0" collapsed="false">
      <c r="I452" s="209"/>
      <c r="J452" s="210"/>
      <c r="K452" s="209"/>
      <c r="L452" s="209"/>
      <c r="M452" s="5"/>
      <c r="T452" s="109"/>
      <c r="U452" s="7"/>
    </row>
    <row r="453" s="2" customFormat="true" ht="15" hidden="false" customHeight="false" outlineLevel="0" collapsed="false">
      <c r="I453" s="5"/>
      <c r="J453" s="211"/>
      <c r="K453" s="5"/>
      <c r="L453" s="5"/>
      <c r="M453" s="5"/>
      <c r="T453" s="78"/>
      <c r="U453" s="7"/>
    </row>
    <row r="454" s="2" customFormat="true" ht="15" hidden="false" customHeight="false" outlineLevel="0" collapsed="false">
      <c r="I454" s="209"/>
      <c r="J454" s="210"/>
      <c r="K454" s="209"/>
      <c r="L454" s="209"/>
      <c r="M454" s="5"/>
      <c r="T454" s="100"/>
      <c r="U454" s="7"/>
    </row>
    <row r="455" s="2" customFormat="true" ht="15" hidden="false" customHeight="false" outlineLevel="0" collapsed="false">
      <c r="I455" s="5"/>
      <c r="J455" s="211"/>
      <c r="K455" s="5"/>
      <c r="L455" s="5"/>
      <c r="M455" s="5"/>
      <c r="T455" s="78"/>
      <c r="U455" s="7"/>
    </row>
    <row r="456" s="2" customFormat="true" ht="15" hidden="false" customHeight="false" outlineLevel="0" collapsed="false">
      <c r="I456" s="209"/>
      <c r="J456" s="210"/>
      <c r="K456" s="209"/>
      <c r="L456" s="209"/>
      <c r="M456" s="5"/>
      <c r="T456" s="100"/>
      <c r="U456" s="7"/>
    </row>
    <row r="457" s="2" customFormat="true" ht="15" hidden="false" customHeight="false" outlineLevel="0" collapsed="false">
      <c r="I457" s="5"/>
      <c r="J457" s="211"/>
      <c r="K457" s="5"/>
      <c r="L457" s="5"/>
      <c r="M457" s="5"/>
      <c r="T457" s="78"/>
      <c r="U457" s="7"/>
    </row>
    <row r="458" s="2" customFormat="true" ht="15" hidden="false" customHeight="false" outlineLevel="0" collapsed="false">
      <c r="I458" s="209"/>
      <c r="J458" s="210"/>
      <c r="K458" s="209"/>
      <c r="L458" s="209"/>
      <c r="M458" s="5"/>
      <c r="T458" s="100"/>
      <c r="U458" s="7"/>
    </row>
    <row r="459" s="2" customFormat="true" ht="15" hidden="false" customHeight="false" outlineLevel="0" collapsed="false">
      <c r="I459" s="5"/>
      <c r="J459" s="211"/>
      <c r="K459" s="5"/>
      <c r="L459" s="5"/>
      <c r="M459" s="5"/>
      <c r="T459" s="78"/>
      <c r="U459" s="7"/>
    </row>
    <row r="460" s="2" customFormat="true" ht="15" hidden="false" customHeight="false" outlineLevel="0" collapsed="false">
      <c r="I460" s="209"/>
      <c r="J460" s="210"/>
      <c r="K460" s="209"/>
      <c r="L460" s="209"/>
      <c r="M460" s="5"/>
      <c r="T460" s="100"/>
      <c r="U460" s="7"/>
    </row>
    <row r="461" s="2" customFormat="true" ht="15" hidden="false" customHeight="false" outlineLevel="0" collapsed="false">
      <c r="I461" s="5"/>
      <c r="J461" s="211"/>
      <c r="K461" s="5"/>
      <c r="L461" s="5"/>
      <c r="M461" s="5"/>
      <c r="T461" s="78"/>
      <c r="U461" s="7"/>
    </row>
    <row r="462" s="2" customFormat="true" ht="15" hidden="false" customHeight="false" outlineLevel="0" collapsed="false">
      <c r="I462" s="209"/>
      <c r="J462" s="210"/>
      <c r="K462" s="209"/>
      <c r="L462" s="209"/>
      <c r="M462" s="5"/>
      <c r="T462" s="100"/>
      <c r="U462" s="7"/>
    </row>
    <row r="463" s="2" customFormat="true" ht="15" hidden="false" customHeight="false" outlineLevel="0" collapsed="false">
      <c r="I463" s="5"/>
      <c r="J463" s="211"/>
      <c r="K463" s="5"/>
      <c r="L463" s="5"/>
      <c r="M463" s="5"/>
      <c r="T463" s="78"/>
      <c r="U463" s="7"/>
    </row>
    <row r="464" s="2" customFormat="true" ht="15" hidden="false" customHeight="false" outlineLevel="0" collapsed="false">
      <c r="I464" s="209"/>
      <c r="J464" s="210"/>
      <c r="K464" s="209"/>
      <c r="L464" s="209"/>
      <c r="M464" s="5"/>
      <c r="T464" s="39"/>
      <c r="U464" s="7"/>
    </row>
    <row r="465" s="2" customFormat="true" ht="15" hidden="false" customHeight="false" outlineLevel="0" collapsed="false">
      <c r="I465" s="5"/>
      <c r="J465" s="211"/>
      <c r="K465" s="5"/>
      <c r="L465" s="5"/>
      <c r="M465" s="5"/>
      <c r="T465" s="108"/>
      <c r="U465" s="7"/>
    </row>
    <row r="466" s="2" customFormat="true" ht="15" hidden="false" customHeight="false" outlineLevel="0" collapsed="false">
      <c r="I466" s="209"/>
      <c r="J466" s="210"/>
      <c r="K466" s="209"/>
      <c r="L466" s="209"/>
      <c r="M466" s="5"/>
      <c r="T466" s="109"/>
      <c r="U466" s="7"/>
    </row>
    <row r="467" s="2" customFormat="true" ht="15" hidden="false" customHeight="false" outlineLevel="0" collapsed="false">
      <c r="I467" s="5"/>
      <c r="J467" s="211"/>
      <c r="K467" s="5"/>
      <c r="L467" s="5"/>
      <c r="M467" s="5"/>
      <c r="T467" s="108"/>
      <c r="U467" s="7"/>
    </row>
    <row r="468" s="2" customFormat="true" ht="15" hidden="false" customHeight="false" outlineLevel="0" collapsed="false">
      <c r="I468" s="209"/>
      <c r="J468" s="210"/>
      <c r="K468" s="209"/>
      <c r="L468" s="209"/>
      <c r="M468" s="5"/>
      <c r="T468" s="109"/>
      <c r="U468" s="7"/>
    </row>
    <row r="469" s="2" customFormat="true" ht="15" hidden="false" customHeight="false" outlineLevel="0" collapsed="false">
      <c r="I469" s="5"/>
      <c r="J469" s="211"/>
      <c r="K469" s="5"/>
      <c r="L469" s="5"/>
      <c r="M469" s="5"/>
      <c r="T469" s="78"/>
      <c r="U469" s="7"/>
    </row>
    <row r="470" s="2" customFormat="true" ht="15" hidden="false" customHeight="false" outlineLevel="0" collapsed="false">
      <c r="I470" s="209"/>
      <c r="J470" s="210"/>
      <c r="K470" s="209"/>
      <c r="L470" s="209"/>
      <c r="M470" s="5"/>
      <c r="T470" s="100"/>
      <c r="U470" s="7"/>
    </row>
    <row r="471" s="2" customFormat="true" ht="15" hidden="false" customHeight="false" outlineLevel="0" collapsed="false">
      <c r="I471" s="5"/>
      <c r="J471" s="211"/>
      <c r="K471" s="5"/>
      <c r="L471" s="5"/>
      <c r="M471" s="5"/>
      <c r="T471" s="78"/>
      <c r="U471" s="7"/>
    </row>
    <row r="472" s="2" customFormat="true" ht="15" hidden="false" customHeight="false" outlineLevel="0" collapsed="false">
      <c r="I472" s="209"/>
      <c r="J472" s="210"/>
      <c r="K472" s="209"/>
      <c r="L472" s="209"/>
      <c r="M472" s="5"/>
      <c r="T472" s="100"/>
      <c r="U472" s="7"/>
    </row>
    <row r="473" s="2" customFormat="true" ht="15" hidden="false" customHeight="false" outlineLevel="0" collapsed="false">
      <c r="I473" s="5"/>
      <c r="J473" s="211"/>
      <c r="K473" s="5"/>
      <c r="L473" s="5"/>
      <c r="M473" s="5"/>
      <c r="T473" s="78"/>
      <c r="U473" s="7"/>
    </row>
    <row r="474" s="2" customFormat="true" ht="15" hidden="false" customHeight="false" outlineLevel="0" collapsed="false">
      <c r="I474" s="209"/>
      <c r="J474" s="210"/>
      <c r="K474" s="209"/>
      <c r="L474" s="209"/>
      <c r="M474" s="5"/>
      <c r="T474" s="100"/>
      <c r="U474" s="7"/>
    </row>
    <row r="475" s="2" customFormat="true" ht="15" hidden="false" customHeight="false" outlineLevel="0" collapsed="false">
      <c r="I475" s="5"/>
      <c r="J475" s="211"/>
      <c r="K475" s="5"/>
      <c r="L475" s="5"/>
      <c r="M475" s="5"/>
      <c r="T475" s="78"/>
      <c r="U475" s="7"/>
    </row>
    <row r="476" s="2" customFormat="true" ht="15" hidden="false" customHeight="false" outlineLevel="0" collapsed="false">
      <c r="I476" s="209"/>
      <c r="J476" s="210"/>
      <c r="K476" s="209"/>
      <c r="L476" s="209"/>
      <c r="M476" s="5"/>
      <c r="T476" s="100"/>
      <c r="U476" s="7"/>
    </row>
    <row r="477" s="2" customFormat="true" ht="15" hidden="false" customHeight="false" outlineLevel="0" collapsed="false">
      <c r="I477" s="5"/>
      <c r="J477" s="211"/>
      <c r="K477" s="5"/>
      <c r="L477" s="5"/>
      <c r="M477" s="5"/>
      <c r="T477" s="78"/>
      <c r="U477" s="7"/>
    </row>
    <row r="478" s="2" customFormat="true" ht="15" hidden="false" customHeight="false" outlineLevel="0" collapsed="false">
      <c r="I478" s="209"/>
      <c r="J478" s="210"/>
      <c r="K478" s="209"/>
      <c r="L478" s="209"/>
      <c r="M478" s="5"/>
      <c r="T478" s="100"/>
      <c r="U478" s="7"/>
    </row>
    <row r="479" s="2" customFormat="true" ht="15" hidden="false" customHeight="false" outlineLevel="0" collapsed="false">
      <c r="I479" s="5"/>
      <c r="J479" s="211"/>
      <c r="K479" s="5"/>
      <c r="L479" s="5"/>
      <c r="M479" s="5"/>
      <c r="T479" s="78"/>
      <c r="U479" s="7"/>
    </row>
    <row r="480" s="2" customFormat="true" ht="15" hidden="false" customHeight="false" outlineLevel="0" collapsed="false">
      <c r="I480" s="209"/>
      <c r="J480" s="210"/>
      <c r="K480" s="209"/>
      <c r="L480" s="209"/>
      <c r="M480" s="5"/>
      <c r="T480" s="39"/>
      <c r="U480" s="7"/>
    </row>
    <row r="481" s="2" customFormat="true" ht="15" hidden="false" customHeight="false" outlineLevel="0" collapsed="false">
      <c r="I481" s="5"/>
      <c r="J481" s="211"/>
      <c r="K481" s="5"/>
      <c r="L481" s="5"/>
      <c r="M481" s="5"/>
      <c r="T481" s="108"/>
      <c r="U481" s="7"/>
    </row>
    <row r="482" s="2" customFormat="true" ht="15" hidden="false" customHeight="false" outlineLevel="0" collapsed="false">
      <c r="I482" s="209"/>
      <c r="J482" s="210"/>
      <c r="K482" s="209"/>
      <c r="L482" s="209"/>
      <c r="M482" s="5"/>
      <c r="T482" s="109"/>
      <c r="U482" s="7"/>
    </row>
    <row r="483" s="2" customFormat="true" ht="15" hidden="false" customHeight="false" outlineLevel="0" collapsed="false">
      <c r="I483" s="5"/>
      <c r="J483" s="211"/>
      <c r="K483" s="5"/>
      <c r="L483" s="5"/>
      <c r="M483" s="5"/>
      <c r="T483" s="108"/>
      <c r="U483" s="7"/>
    </row>
    <row r="484" s="2" customFormat="true" ht="15" hidden="false" customHeight="false" outlineLevel="0" collapsed="false">
      <c r="I484" s="209"/>
      <c r="J484" s="210"/>
      <c r="K484" s="209"/>
      <c r="L484" s="209"/>
      <c r="M484" s="5"/>
      <c r="T484" s="109"/>
      <c r="U484" s="7"/>
    </row>
    <row r="485" s="2" customFormat="true" ht="15" hidden="false" customHeight="false" outlineLevel="0" collapsed="false">
      <c r="I485" s="5"/>
      <c r="J485" s="211"/>
      <c r="K485" s="5"/>
      <c r="L485" s="5"/>
      <c r="M485" s="5"/>
      <c r="T485" s="78"/>
      <c r="U485" s="7"/>
    </row>
    <row r="486" s="2" customFormat="true" ht="15" hidden="false" customHeight="false" outlineLevel="0" collapsed="false">
      <c r="I486" s="209"/>
      <c r="J486" s="210"/>
      <c r="K486" s="209"/>
      <c r="L486" s="209"/>
      <c r="M486" s="5"/>
      <c r="T486" s="100"/>
      <c r="U486" s="7"/>
    </row>
    <row r="487" s="2" customFormat="true" ht="15" hidden="false" customHeight="false" outlineLevel="0" collapsed="false">
      <c r="I487" s="5"/>
      <c r="J487" s="211"/>
      <c r="K487" s="5"/>
      <c r="L487" s="5"/>
      <c r="M487" s="5"/>
      <c r="T487" s="78"/>
      <c r="U487" s="7"/>
    </row>
    <row r="488" s="2" customFormat="true" ht="15" hidden="false" customHeight="false" outlineLevel="0" collapsed="false">
      <c r="I488" s="209"/>
      <c r="J488" s="210"/>
      <c r="K488" s="209"/>
      <c r="L488" s="209"/>
      <c r="M488" s="5"/>
      <c r="T488" s="100"/>
      <c r="U488" s="7"/>
    </row>
    <row r="489" s="2" customFormat="true" ht="15" hidden="false" customHeight="false" outlineLevel="0" collapsed="false">
      <c r="I489" s="5"/>
      <c r="J489" s="211"/>
      <c r="K489" s="5"/>
      <c r="L489" s="5"/>
      <c r="M489" s="5"/>
      <c r="T489" s="78"/>
      <c r="U489" s="7"/>
    </row>
    <row r="490" s="2" customFormat="true" ht="15" hidden="false" customHeight="false" outlineLevel="0" collapsed="false">
      <c r="I490" s="209"/>
      <c r="J490" s="210"/>
      <c r="K490" s="209"/>
      <c r="L490" s="209"/>
      <c r="M490" s="5"/>
      <c r="T490" s="100"/>
      <c r="U490" s="7"/>
    </row>
    <row r="491" s="2" customFormat="true" ht="15" hidden="false" customHeight="false" outlineLevel="0" collapsed="false">
      <c r="I491" s="5"/>
      <c r="J491" s="211"/>
      <c r="K491" s="5"/>
      <c r="L491" s="5"/>
      <c r="M491" s="5"/>
      <c r="T491" s="78"/>
      <c r="U491" s="7"/>
    </row>
    <row r="492" s="2" customFormat="true" ht="15" hidden="false" customHeight="false" outlineLevel="0" collapsed="false">
      <c r="I492" s="209"/>
      <c r="J492" s="210"/>
      <c r="K492" s="209"/>
      <c r="L492" s="209"/>
      <c r="M492" s="5"/>
      <c r="T492" s="100"/>
      <c r="U492" s="7"/>
    </row>
    <row r="493" s="2" customFormat="true" ht="15" hidden="false" customHeight="false" outlineLevel="0" collapsed="false">
      <c r="I493" s="5"/>
      <c r="J493" s="211"/>
      <c r="K493" s="5"/>
      <c r="L493" s="5"/>
      <c r="M493" s="5"/>
      <c r="T493" s="78"/>
      <c r="U493" s="7"/>
    </row>
    <row r="494" s="2" customFormat="true" ht="15" hidden="false" customHeight="false" outlineLevel="0" collapsed="false">
      <c r="I494" s="209"/>
      <c r="J494" s="210"/>
      <c r="K494" s="209"/>
      <c r="L494" s="209"/>
      <c r="M494" s="5"/>
      <c r="T494" s="100"/>
      <c r="U494" s="7"/>
    </row>
    <row r="495" s="2" customFormat="true" ht="15" hidden="false" customHeight="false" outlineLevel="0" collapsed="false">
      <c r="I495" s="5"/>
      <c r="J495" s="211"/>
      <c r="K495" s="5"/>
      <c r="L495" s="5"/>
      <c r="M495" s="5"/>
      <c r="T495" s="78"/>
      <c r="U495" s="7"/>
    </row>
    <row r="496" s="2" customFormat="true" ht="15" hidden="false" customHeight="false" outlineLevel="0" collapsed="false">
      <c r="I496" s="209"/>
      <c r="J496" s="210"/>
      <c r="K496" s="209"/>
      <c r="L496" s="209"/>
      <c r="M496" s="5"/>
      <c r="T496" s="39"/>
      <c r="U496" s="7"/>
    </row>
    <row r="497" s="2" customFormat="true" ht="15" hidden="false" customHeight="false" outlineLevel="0" collapsed="false">
      <c r="I497" s="5"/>
      <c r="J497" s="211"/>
      <c r="K497" s="5"/>
      <c r="L497" s="5"/>
      <c r="M497" s="5"/>
      <c r="T497" s="108"/>
      <c r="U497" s="7"/>
    </row>
    <row r="498" s="2" customFormat="true" ht="15" hidden="false" customHeight="false" outlineLevel="0" collapsed="false">
      <c r="I498" s="209"/>
      <c r="J498" s="210"/>
      <c r="K498" s="209"/>
      <c r="L498" s="209"/>
      <c r="M498" s="5"/>
      <c r="T498" s="109"/>
      <c r="U498" s="7"/>
    </row>
    <row r="499" s="2" customFormat="true" ht="15" hidden="false" customHeight="false" outlineLevel="0" collapsed="false">
      <c r="I499" s="5"/>
      <c r="J499" s="211"/>
      <c r="K499" s="5"/>
      <c r="L499" s="5"/>
      <c r="M499" s="5"/>
      <c r="T499" s="108"/>
      <c r="U499" s="7"/>
    </row>
    <row r="500" s="2" customFormat="true" ht="15" hidden="false" customHeight="false" outlineLevel="0" collapsed="false">
      <c r="I500" s="209"/>
      <c r="J500" s="210"/>
      <c r="K500" s="209"/>
      <c r="L500" s="209"/>
      <c r="M500" s="5"/>
      <c r="T500" s="109"/>
      <c r="U500" s="7"/>
    </row>
    <row r="501" s="2" customFormat="true" ht="15" hidden="false" customHeight="false" outlineLevel="0" collapsed="false">
      <c r="I501" s="5"/>
      <c r="J501" s="211"/>
      <c r="K501" s="5"/>
      <c r="L501" s="5"/>
      <c r="M501" s="5"/>
      <c r="T501" s="78"/>
      <c r="U501" s="7"/>
    </row>
    <row r="502" s="2" customFormat="true" ht="15" hidden="false" customHeight="false" outlineLevel="0" collapsed="false">
      <c r="I502" s="209"/>
      <c r="J502" s="210"/>
      <c r="K502" s="209"/>
      <c r="L502" s="209"/>
      <c r="M502" s="5"/>
      <c r="T502" s="100"/>
      <c r="U502" s="7"/>
    </row>
    <row r="503" s="2" customFormat="true" ht="15" hidden="false" customHeight="false" outlineLevel="0" collapsed="false">
      <c r="I503" s="5"/>
      <c r="J503" s="211"/>
      <c r="K503" s="5"/>
      <c r="L503" s="5"/>
      <c r="M503" s="5"/>
      <c r="T503" s="78"/>
      <c r="U503" s="7"/>
    </row>
    <row r="504" s="2" customFormat="true" ht="15" hidden="false" customHeight="false" outlineLevel="0" collapsed="false">
      <c r="I504" s="209"/>
      <c r="J504" s="210"/>
      <c r="K504" s="209"/>
      <c r="L504" s="209"/>
      <c r="M504" s="5"/>
      <c r="T504" s="100"/>
      <c r="U504" s="7"/>
    </row>
    <row r="505" s="2" customFormat="true" ht="15" hidden="false" customHeight="false" outlineLevel="0" collapsed="false">
      <c r="I505" s="5"/>
      <c r="J505" s="211"/>
      <c r="K505" s="5"/>
      <c r="L505" s="5"/>
      <c r="M505" s="5"/>
      <c r="T505" s="78"/>
      <c r="U505" s="7"/>
    </row>
    <row r="506" s="2" customFormat="true" ht="15" hidden="false" customHeight="false" outlineLevel="0" collapsed="false">
      <c r="I506" s="209"/>
      <c r="J506" s="210"/>
      <c r="K506" s="209"/>
      <c r="L506" s="209"/>
      <c r="M506" s="5"/>
      <c r="T506" s="100"/>
      <c r="U506" s="7"/>
    </row>
    <row r="507" s="2" customFormat="true" ht="15" hidden="false" customHeight="false" outlineLevel="0" collapsed="false">
      <c r="I507" s="5"/>
      <c r="J507" s="211"/>
      <c r="K507" s="5"/>
      <c r="L507" s="5"/>
      <c r="M507" s="5"/>
      <c r="T507" s="78"/>
      <c r="U507" s="7"/>
    </row>
    <row r="508" s="2" customFormat="true" ht="15" hidden="false" customHeight="false" outlineLevel="0" collapsed="false">
      <c r="I508" s="209"/>
      <c r="J508" s="210"/>
      <c r="K508" s="209"/>
      <c r="L508" s="209"/>
      <c r="M508" s="5"/>
      <c r="T508" s="100"/>
      <c r="U508" s="7"/>
    </row>
    <row r="509" s="2" customFormat="true" ht="15" hidden="false" customHeight="false" outlineLevel="0" collapsed="false">
      <c r="I509" s="5"/>
      <c r="J509" s="211"/>
      <c r="K509" s="5"/>
      <c r="L509" s="5"/>
      <c r="M509" s="5"/>
      <c r="T509" s="78"/>
      <c r="U509" s="7"/>
    </row>
    <row r="510" s="2" customFormat="true" ht="15" hidden="false" customHeight="false" outlineLevel="0" collapsed="false">
      <c r="I510" s="209"/>
      <c r="J510" s="210"/>
      <c r="K510" s="209"/>
      <c r="L510" s="209"/>
      <c r="M510" s="5"/>
      <c r="T510" s="100"/>
      <c r="U510" s="7"/>
    </row>
    <row r="511" s="2" customFormat="true" ht="15" hidden="false" customHeight="false" outlineLevel="0" collapsed="false">
      <c r="I511" s="5"/>
      <c r="J511" s="211"/>
      <c r="K511" s="5"/>
      <c r="L511" s="5"/>
      <c r="M511" s="5"/>
      <c r="T511" s="78"/>
      <c r="U511" s="7"/>
    </row>
    <row r="512" s="2" customFormat="true" ht="15" hidden="false" customHeight="false" outlineLevel="0" collapsed="false">
      <c r="I512" s="209"/>
      <c r="J512" s="210"/>
      <c r="K512" s="209"/>
      <c r="L512" s="209"/>
      <c r="M512" s="5"/>
      <c r="T512" s="39"/>
      <c r="U512" s="7"/>
    </row>
    <row r="513" s="2" customFormat="true" ht="15" hidden="false" customHeight="false" outlineLevel="0" collapsed="false">
      <c r="I513" s="5"/>
      <c r="J513" s="211"/>
      <c r="K513" s="5"/>
      <c r="L513" s="5"/>
      <c r="M513" s="5"/>
      <c r="T513" s="108"/>
      <c r="U513" s="7"/>
    </row>
    <row r="514" s="2" customFormat="true" ht="15" hidden="false" customHeight="false" outlineLevel="0" collapsed="false">
      <c r="I514" s="209"/>
      <c r="J514" s="210"/>
      <c r="K514" s="209"/>
      <c r="L514" s="209"/>
      <c r="M514" s="5"/>
      <c r="T514" s="109"/>
      <c r="U514" s="7"/>
    </row>
    <row r="515" s="2" customFormat="true" ht="15" hidden="false" customHeight="false" outlineLevel="0" collapsed="false">
      <c r="I515" s="5"/>
      <c r="J515" s="211"/>
      <c r="K515" s="5"/>
      <c r="L515" s="5"/>
      <c r="M515" s="5"/>
      <c r="T515" s="108"/>
      <c r="U515" s="7"/>
    </row>
    <row r="516" s="2" customFormat="true" ht="15" hidden="false" customHeight="false" outlineLevel="0" collapsed="false">
      <c r="I516" s="209"/>
      <c r="J516" s="210"/>
      <c r="K516" s="209"/>
      <c r="L516" s="209"/>
      <c r="M516" s="5"/>
      <c r="T516" s="109"/>
      <c r="U516" s="7"/>
    </row>
    <row r="517" s="2" customFormat="true" ht="15" hidden="false" customHeight="false" outlineLevel="0" collapsed="false">
      <c r="I517" s="5"/>
      <c r="J517" s="211"/>
      <c r="K517" s="5"/>
      <c r="L517" s="5"/>
      <c r="M517" s="5"/>
      <c r="T517" s="78"/>
      <c r="U517" s="7"/>
    </row>
    <row r="518" s="2" customFormat="true" ht="15" hidden="false" customHeight="false" outlineLevel="0" collapsed="false">
      <c r="I518" s="209"/>
      <c r="J518" s="210"/>
      <c r="K518" s="209"/>
      <c r="L518" s="209"/>
      <c r="M518" s="5"/>
      <c r="T518" s="100"/>
      <c r="U518" s="7"/>
    </row>
    <row r="519" s="2" customFormat="true" ht="15" hidden="false" customHeight="false" outlineLevel="0" collapsed="false">
      <c r="I519" s="5"/>
      <c r="J519" s="211"/>
      <c r="K519" s="5"/>
      <c r="L519" s="5"/>
      <c r="M519" s="5"/>
      <c r="T519" s="78"/>
      <c r="U519" s="7"/>
    </row>
    <row r="520" s="2" customFormat="true" ht="15" hidden="false" customHeight="false" outlineLevel="0" collapsed="false">
      <c r="I520" s="209"/>
      <c r="J520" s="210"/>
      <c r="K520" s="209"/>
      <c r="L520" s="209"/>
      <c r="M520" s="5"/>
      <c r="T520" s="100"/>
      <c r="U520" s="7"/>
    </row>
    <row r="521" s="2" customFormat="true" ht="15" hidden="false" customHeight="false" outlineLevel="0" collapsed="false">
      <c r="I521" s="5"/>
      <c r="J521" s="211"/>
      <c r="K521" s="5"/>
      <c r="L521" s="5"/>
      <c r="M521" s="5"/>
      <c r="T521" s="78"/>
      <c r="U521" s="7"/>
    </row>
    <row r="522" s="2" customFormat="true" ht="15" hidden="false" customHeight="false" outlineLevel="0" collapsed="false">
      <c r="I522" s="209"/>
      <c r="J522" s="210"/>
      <c r="K522" s="209"/>
      <c r="L522" s="209"/>
      <c r="M522" s="5"/>
      <c r="T522" s="100"/>
      <c r="U522" s="7"/>
    </row>
    <row r="523" s="2" customFormat="true" ht="15" hidden="false" customHeight="false" outlineLevel="0" collapsed="false">
      <c r="I523" s="5"/>
      <c r="J523" s="211"/>
      <c r="K523" s="5"/>
      <c r="L523" s="5"/>
      <c r="M523" s="5"/>
      <c r="T523" s="78"/>
      <c r="U523" s="7"/>
    </row>
    <row r="524" s="2" customFormat="true" ht="15" hidden="false" customHeight="false" outlineLevel="0" collapsed="false">
      <c r="I524" s="209"/>
      <c r="J524" s="210"/>
      <c r="K524" s="209"/>
      <c r="L524" s="209"/>
      <c r="M524" s="5"/>
      <c r="T524" s="100"/>
      <c r="U524" s="7"/>
    </row>
    <row r="525" s="2" customFormat="true" ht="15" hidden="false" customHeight="false" outlineLevel="0" collapsed="false">
      <c r="I525" s="5"/>
      <c r="J525" s="211"/>
      <c r="K525" s="5"/>
      <c r="L525" s="5"/>
      <c r="M525" s="5"/>
      <c r="T525" s="78"/>
      <c r="U525" s="7"/>
    </row>
    <row r="526" s="2" customFormat="true" ht="15" hidden="false" customHeight="false" outlineLevel="0" collapsed="false">
      <c r="I526" s="209"/>
      <c r="J526" s="210"/>
      <c r="K526" s="209"/>
      <c r="L526" s="209"/>
      <c r="M526" s="5"/>
      <c r="T526" s="100"/>
      <c r="U526" s="7"/>
    </row>
    <row r="527" s="2" customFormat="true" ht="15" hidden="false" customHeight="false" outlineLevel="0" collapsed="false">
      <c r="I527" s="5"/>
      <c r="J527" s="211"/>
      <c r="K527" s="5"/>
      <c r="L527" s="5"/>
      <c r="M527" s="5"/>
      <c r="T527" s="78"/>
      <c r="U527" s="7"/>
    </row>
    <row r="528" s="2" customFormat="true" ht="15" hidden="false" customHeight="false" outlineLevel="0" collapsed="false">
      <c r="I528" s="209"/>
      <c r="J528" s="210"/>
      <c r="K528" s="209"/>
      <c r="L528" s="209"/>
      <c r="M528" s="5"/>
      <c r="T528" s="39"/>
      <c r="U528" s="7"/>
    </row>
    <row r="529" s="2" customFormat="true" ht="15" hidden="false" customHeight="false" outlineLevel="0" collapsed="false">
      <c r="I529" s="5"/>
      <c r="J529" s="211"/>
      <c r="K529" s="5"/>
      <c r="L529" s="5"/>
      <c r="M529" s="5"/>
      <c r="T529" s="108"/>
      <c r="U529" s="7"/>
    </row>
    <row r="530" s="2" customFormat="true" ht="15" hidden="false" customHeight="false" outlineLevel="0" collapsed="false">
      <c r="I530" s="209"/>
      <c r="J530" s="210"/>
      <c r="K530" s="209"/>
      <c r="L530" s="209"/>
      <c r="M530" s="5"/>
      <c r="T530" s="109"/>
      <c r="U530" s="7"/>
    </row>
    <row r="531" s="2" customFormat="true" ht="15" hidden="false" customHeight="false" outlineLevel="0" collapsed="false">
      <c r="I531" s="5"/>
      <c r="J531" s="211"/>
      <c r="K531" s="5"/>
      <c r="L531" s="5"/>
      <c r="M531" s="5"/>
      <c r="T531" s="108"/>
      <c r="U531" s="7"/>
    </row>
    <row r="532" s="2" customFormat="true" ht="15" hidden="false" customHeight="false" outlineLevel="0" collapsed="false">
      <c r="I532" s="209"/>
      <c r="J532" s="210"/>
      <c r="K532" s="209"/>
      <c r="L532" s="209"/>
      <c r="M532" s="5"/>
      <c r="T532" s="109"/>
      <c r="U532" s="7"/>
    </row>
    <row r="533" s="2" customFormat="true" ht="15" hidden="false" customHeight="false" outlineLevel="0" collapsed="false">
      <c r="I533" s="5"/>
      <c r="J533" s="211"/>
      <c r="K533" s="5"/>
      <c r="L533" s="5"/>
      <c r="M533" s="5"/>
      <c r="T533" s="78"/>
      <c r="U533" s="7"/>
    </row>
    <row r="534" s="2" customFormat="true" ht="15" hidden="false" customHeight="false" outlineLevel="0" collapsed="false">
      <c r="I534" s="209"/>
      <c r="J534" s="210"/>
      <c r="K534" s="209"/>
      <c r="L534" s="209"/>
      <c r="M534" s="5"/>
      <c r="T534" s="100"/>
      <c r="U534" s="7"/>
    </row>
    <row r="535" s="2" customFormat="true" ht="15" hidden="false" customHeight="false" outlineLevel="0" collapsed="false">
      <c r="I535" s="5"/>
      <c r="J535" s="211"/>
      <c r="K535" s="5"/>
      <c r="L535" s="5"/>
      <c r="M535" s="5"/>
      <c r="T535" s="78"/>
      <c r="U535" s="7"/>
    </row>
    <row r="536" s="2" customFormat="true" ht="15" hidden="false" customHeight="false" outlineLevel="0" collapsed="false">
      <c r="I536" s="209"/>
      <c r="J536" s="210"/>
      <c r="K536" s="209"/>
      <c r="L536" s="209"/>
      <c r="M536" s="5"/>
      <c r="T536" s="100"/>
      <c r="U536" s="7"/>
    </row>
    <row r="537" s="2" customFormat="true" ht="15" hidden="false" customHeight="false" outlineLevel="0" collapsed="false">
      <c r="I537" s="5"/>
      <c r="J537" s="211"/>
      <c r="K537" s="5"/>
      <c r="L537" s="5"/>
      <c r="M537" s="5"/>
      <c r="T537" s="78"/>
      <c r="U537" s="7"/>
    </row>
    <row r="538" s="2" customFormat="true" ht="15" hidden="false" customHeight="false" outlineLevel="0" collapsed="false">
      <c r="I538" s="209"/>
      <c r="J538" s="210"/>
      <c r="K538" s="209"/>
      <c r="L538" s="209"/>
      <c r="M538" s="5"/>
      <c r="T538" s="100"/>
      <c r="U538" s="7"/>
    </row>
    <row r="539" s="2" customFormat="true" ht="15" hidden="false" customHeight="false" outlineLevel="0" collapsed="false">
      <c r="I539" s="5"/>
      <c r="J539" s="211"/>
      <c r="K539" s="5"/>
      <c r="L539" s="5"/>
      <c r="M539" s="5"/>
      <c r="T539" s="78"/>
      <c r="U539" s="7"/>
    </row>
    <row r="540" s="2" customFormat="true" ht="15" hidden="false" customHeight="false" outlineLevel="0" collapsed="false">
      <c r="I540" s="209"/>
      <c r="J540" s="210"/>
      <c r="K540" s="209"/>
      <c r="L540" s="209"/>
      <c r="M540" s="5"/>
      <c r="T540" s="100"/>
      <c r="U540" s="7"/>
    </row>
    <row r="541" s="2" customFormat="true" ht="15" hidden="false" customHeight="false" outlineLevel="0" collapsed="false">
      <c r="I541" s="5"/>
      <c r="J541" s="211"/>
      <c r="K541" s="5"/>
      <c r="L541" s="5"/>
      <c r="M541" s="5"/>
      <c r="T541" s="78"/>
      <c r="U541" s="7"/>
    </row>
    <row r="542" s="2" customFormat="true" ht="15" hidden="false" customHeight="false" outlineLevel="0" collapsed="false">
      <c r="I542" s="209"/>
      <c r="J542" s="210"/>
      <c r="K542" s="209"/>
      <c r="L542" s="209"/>
      <c r="M542" s="5"/>
      <c r="T542" s="100"/>
      <c r="U542" s="7"/>
    </row>
    <row r="543" s="2" customFormat="true" ht="15" hidden="false" customHeight="false" outlineLevel="0" collapsed="false">
      <c r="I543" s="5"/>
      <c r="J543" s="211"/>
      <c r="K543" s="5"/>
      <c r="L543" s="5"/>
      <c r="M543" s="5"/>
      <c r="T543" s="78"/>
      <c r="U543" s="7"/>
    </row>
    <row r="544" s="2" customFormat="true" ht="15" hidden="false" customHeight="false" outlineLevel="0" collapsed="false">
      <c r="I544" s="209"/>
      <c r="J544" s="210"/>
      <c r="K544" s="209"/>
      <c r="L544" s="209"/>
      <c r="M544" s="5"/>
      <c r="T544" s="39"/>
      <c r="U544" s="7"/>
    </row>
    <row r="545" s="2" customFormat="true" ht="15" hidden="false" customHeight="false" outlineLevel="0" collapsed="false">
      <c r="I545" s="5"/>
      <c r="J545" s="211"/>
      <c r="K545" s="5"/>
      <c r="L545" s="5"/>
      <c r="M545" s="5"/>
      <c r="T545" s="108"/>
      <c r="U545" s="7"/>
    </row>
    <row r="546" s="2" customFormat="true" ht="15" hidden="false" customHeight="false" outlineLevel="0" collapsed="false">
      <c r="I546" s="209"/>
      <c r="J546" s="210"/>
      <c r="K546" s="209"/>
      <c r="L546" s="209"/>
      <c r="M546" s="5"/>
      <c r="T546" s="109"/>
      <c r="U546" s="7"/>
    </row>
    <row r="547" s="2" customFormat="true" ht="15" hidden="false" customHeight="false" outlineLevel="0" collapsed="false">
      <c r="I547" s="5"/>
      <c r="J547" s="211"/>
      <c r="K547" s="5"/>
      <c r="L547" s="5"/>
      <c r="M547" s="5"/>
      <c r="T547" s="108"/>
      <c r="U547" s="7"/>
    </row>
    <row r="548" s="2" customFormat="true" ht="15" hidden="false" customHeight="false" outlineLevel="0" collapsed="false">
      <c r="I548" s="209"/>
      <c r="J548" s="210"/>
      <c r="K548" s="209"/>
      <c r="L548" s="209"/>
      <c r="M548" s="5"/>
      <c r="T548" s="109"/>
      <c r="U548" s="7"/>
    </row>
    <row r="549" s="2" customFormat="true" ht="15" hidden="false" customHeight="false" outlineLevel="0" collapsed="false">
      <c r="I549" s="5"/>
      <c r="J549" s="211"/>
      <c r="K549" s="5"/>
      <c r="L549" s="5"/>
      <c r="M549" s="5"/>
      <c r="T549" s="78"/>
      <c r="U549" s="7"/>
    </row>
    <row r="550" s="2" customFormat="true" ht="15" hidden="false" customHeight="false" outlineLevel="0" collapsed="false">
      <c r="I550" s="209"/>
      <c r="J550" s="210"/>
      <c r="K550" s="209"/>
      <c r="L550" s="209"/>
      <c r="M550" s="5"/>
      <c r="T550" s="100"/>
      <c r="U550" s="7"/>
    </row>
    <row r="551" s="2" customFormat="true" ht="15" hidden="false" customHeight="false" outlineLevel="0" collapsed="false">
      <c r="I551" s="5"/>
      <c r="J551" s="211"/>
      <c r="K551" s="5"/>
      <c r="L551" s="5"/>
      <c r="M551" s="5"/>
      <c r="T551" s="78"/>
      <c r="U551" s="7"/>
    </row>
    <row r="552" s="2" customFormat="true" ht="15" hidden="false" customHeight="false" outlineLevel="0" collapsed="false">
      <c r="I552" s="209"/>
      <c r="J552" s="210"/>
      <c r="K552" s="209"/>
      <c r="L552" s="209"/>
      <c r="M552" s="5"/>
      <c r="T552" s="100"/>
      <c r="U552" s="7"/>
    </row>
    <row r="553" s="2" customFormat="true" ht="15" hidden="false" customHeight="false" outlineLevel="0" collapsed="false">
      <c r="I553" s="5"/>
      <c r="J553" s="211"/>
      <c r="K553" s="5"/>
      <c r="L553" s="5"/>
      <c r="M553" s="5"/>
      <c r="T553" s="78"/>
      <c r="U553" s="7"/>
    </row>
    <row r="554" s="2" customFormat="true" ht="15" hidden="false" customHeight="false" outlineLevel="0" collapsed="false">
      <c r="I554" s="209"/>
      <c r="J554" s="210"/>
      <c r="K554" s="209"/>
      <c r="L554" s="209"/>
      <c r="M554" s="5"/>
      <c r="T554" s="100"/>
      <c r="U554" s="7"/>
    </row>
    <row r="555" s="2" customFormat="true" ht="15" hidden="false" customHeight="false" outlineLevel="0" collapsed="false">
      <c r="I555" s="5"/>
      <c r="J555" s="211"/>
      <c r="K555" s="5"/>
      <c r="L555" s="5"/>
      <c r="M555" s="5"/>
      <c r="T555" s="78"/>
      <c r="U555" s="7"/>
    </row>
    <row r="556" s="2" customFormat="true" ht="15" hidden="false" customHeight="false" outlineLevel="0" collapsed="false">
      <c r="I556" s="209"/>
      <c r="J556" s="210"/>
      <c r="K556" s="209"/>
      <c r="L556" s="209"/>
      <c r="M556" s="5"/>
      <c r="T556" s="100"/>
      <c r="U556" s="7"/>
    </row>
    <row r="557" s="2" customFormat="true" ht="15" hidden="false" customHeight="false" outlineLevel="0" collapsed="false">
      <c r="I557" s="5"/>
      <c r="J557" s="211"/>
      <c r="K557" s="5"/>
      <c r="L557" s="5"/>
      <c r="M557" s="5"/>
      <c r="T557" s="78"/>
      <c r="U557" s="7"/>
    </row>
    <row r="558" s="2" customFormat="true" ht="15" hidden="false" customHeight="false" outlineLevel="0" collapsed="false">
      <c r="I558" s="209"/>
      <c r="J558" s="210"/>
      <c r="K558" s="209"/>
      <c r="L558" s="209"/>
      <c r="M558" s="5"/>
      <c r="T558" s="100"/>
      <c r="U558" s="7"/>
    </row>
    <row r="559" s="2" customFormat="true" ht="15" hidden="false" customHeight="false" outlineLevel="0" collapsed="false">
      <c r="I559" s="5"/>
      <c r="J559" s="211"/>
      <c r="K559" s="5"/>
      <c r="L559" s="5"/>
      <c r="M559" s="5"/>
      <c r="T559" s="78"/>
      <c r="U559" s="7"/>
    </row>
    <row r="560" s="2" customFormat="true" ht="15" hidden="false" customHeight="false" outlineLevel="0" collapsed="false">
      <c r="I560" s="209"/>
      <c r="J560" s="210"/>
      <c r="K560" s="209"/>
      <c r="L560" s="209"/>
      <c r="M560" s="5"/>
      <c r="T560" s="39"/>
      <c r="U560" s="7"/>
    </row>
    <row r="561" s="2" customFormat="true" ht="15" hidden="false" customHeight="false" outlineLevel="0" collapsed="false">
      <c r="I561" s="5"/>
      <c r="J561" s="211"/>
      <c r="K561" s="5"/>
      <c r="L561" s="5"/>
      <c r="M561" s="5"/>
      <c r="T561" s="108"/>
      <c r="U561" s="7"/>
    </row>
    <row r="562" s="2" customFormat="true" ht="15" hidden="false" customHeight="false" outlineLevel="0" collapsed="false">
      <c r="I562" s="209"/>
      <c r="J562" s="210"/>
      <c r="K562" s="209"/>
      <c r="L562" s="209"/>
      <c r="M562" s="5"/>
      <c r="T562" s="109"/>
      <c r="U562" s="7"/>
    </row>
    <row r="563" s="2" customFormat="true" ht="15" hidden="false" customHeight="false" outlineLevel="0" collapsed="false">
      <c r="I563" s="5"/>
      <c r="J563" s="211"/>
      <c r="K563" s="5"/>
      <c r="L563" s="5"/>
      <c r="M563" s="5"/>
      <c r="T563" s="108"/>
      <c r="U563" s="7"/>
    </row>
    <row r="564" s="2" customFormat="true" ht="15" hidden="false" customHeight="false" outlineLevel="0" collapsed="false">
      <c r="I564" s="209"/>
      <c r="J564" s="210"/>
      <c r="K564" s="209"/>
      <c r="L564" s="209"/>
      <c r="M564" s="5"/>
      <c r="T564" s="109"/>
      <c r="U564" s="7"/>
    </row>
    <row r="565" s="2" customFormat="true" ht="15" hidden="false" customHeight="false" outlineLevel="0" collapsed="false">
      <c r="I565" s="5"/>
      <c r="J565" s="211"/>
      <c r="K565" s="5"/>
      <c r="L565" s="5"/>
      <c r="M565" s="5"/>
      <c r="T565" s="78"/>
      <c r="U565" s="7"/>
    </row>
    <row r="566" s="2" customFormat="true" ht="15" hidden="false" customHeight="false" outlineLevel="0" collapsed="false">
      <c r="I566" s="209"/>
      <c r="J566" s="210"/>
      <c r="K566" s="209"/>
      <c r="L566" s="209"/>
      <c r="M566" s="5"/>
      <c r="T566" s="100"/>
      <c r="U566" s="7"/>
    </row>
    <row r="567" s="2" customFormat="true" ht="15" hidden="false" customHeight="false" outlineLevel="0" collapsed="false">
      <c r="I567" s="5"/>
      <c r="J567" s="211"/>
      <c r="K567" s="5"/>
      <c r="L567" s="5"/>
      <c r="M567" s="5"/>
      <c r="T567" s="78"/>
      <c r="U567" s="7"/>
    </row>
    <row r="568" s="2" customFormat="true" ht="15" hidden="false" customHeight="false" outlineLevel="0" collapsed="false">
      <c r="I568" s="209"/>
      <c r="J568" s="210"/>
      <c r="K568" s="209"/>
      <c r="L568" s="209"/>
      <c r="M568" s="5"/>
      <c r="T568" s="100"/>
      <c r="U568" s="7"/>
    </row>
    <row r="569" s="2" customFormat="true" ht="15" hidden="false" customHeight="false" outlineLevel="0" collapsed="false">
      <c r="I569" s="5"/>
      <c r="J569" s="211"/>
      <c r="K569" s="5"/>
      <c r="L569" s="5"/>
      <c r="M569" s="5"/>
      <c r="T569" s="78"/>
      <c r="U569" s="7"/>
    </row>
    <row r="570" s="2" customFormat="true" ht="15" hidden="false" customHeight="false" outlineLevel="0" collapsed="false">
      <c r="I570" s="209"/>
      <c r="J570" s="210"/>
      <c r="K570" s="209"/>
      <c r="L570" s="209"/>
      <c r="M570" s="5"/>
      <c r="T570" s="100"/>
      <c r="U570" s="7"/>
    </row>
    <row r="571" s="2" customFormat="true" ht="15" hidden="false" customHeight="false" outlineLevel="0" collapsed="false">
      <c r="I571" s="5"/>
      <c r="J571" s="211"/>
      <c r="K571" s="5"/>
      <c r="L571" s="5"/>
      <c r="M571" s="5"/>
      <c r="T571" s="78"/>
      <c r="U571" s="7"/>
    </row>
    <row r="572" s="2" customFormat="true" ht="15" hidden="false" customHeight="false" outlineLevel="0" collapsed="false">
      <c r="I572" s="209"/>
      <c r="J572" s="210"/>
      <c r="K572" s="209"/>
      <c r="L572" s="209"/>
      <c r="M572" s="5"/>
      <c r="T572" s="100"/>
      <c r="U572" s="7"/>
    </row>
    <row r="573" s="2" customFormat="true" ht="15" hidden="false" customHeight="false" outlineLevel="0" collapsed="false">
      <c r="I573" s="5"/>
      <c r="J573" s="211"/>
      <c r="K573" s="5"/>
      <c r="L573" s="5"/>
      <c r="M573" s="5"/>
      <c r="T573" s="78"/>
      <c r="U573" s="7"/>
    </row>
    <row r="574" s="2" customFormat="true" ht="15" hidden="false" customHeight="false" outlineLevel="0" collapsed="false">
      <c r="I574" s="209"/>
      <c r="J574" s="210"/>
      <c r="K574" s="209"/>
      <c r="L574" s="209"/>
      <c r="M574" s="5"/>
      <c r="T574" s="100"/>
      <c r="U574" s="7"/>
    </row>
    <row r="575" s="2" customFormat="true" ht="15" hidden="false" customHeight="false" outlineLevel="0" collapsed="false">
      <c r="I575" s="5"/>
      <c r="J575" s="211"/>
      <c r="K575" s="5"/>
      <c r="L575" s="5"/>
      <c r="M575" s="5"/>
      <c r="T575" s="78"/>
      <c r="U575" s="7"/>
    </row>
    <row r="576" s="2" customFormat="true" ht="15" hidden="false" customHeight="false" outlineLevel="0" collapsed="false">
      <c r="I576" s="209"/>
      <c r="J576" s="210"/>
      <c r="K576" s="209"/>
      <c r="L576" s="209"/>
      <c r="M576" s="5"/>
      <c r="T576" s="39"/>
      <c r="U576" s="7"/>
    </row>
    <row r="577" s="2" customFormat="true" ht="15" hidden="false" customHeight="false" outlineLevel="0" collapsed="false">
      <c r="I577" s="5"/>
      <c r="J577" s="211"/>
      <c r="K577" s="5"/>
      <c r="L577" s="5"/>
      <c r="M577" s="5"/>
      <c r="T577" s="108"/>
      <c r="U577" s="7"/>
    </row>
    <row r="578" s="2" customFormat="true" ht="15" hidden="false" customHeight="false" outlineLevel="0" collapsed="false">
      <c r="I578" s="209"/>
      <c r="J578" s="210"/>
      <c r="K578" s="209"/>
      <c r="L578" s="209"/>
      <c r="M578" s="5"/>
      <c r="T578" s="109"/>
      <c r="U578" s="7"/>
    </row>
    <row r="579" s="2" customFormat="true" ht="15" hidden="false" customHeight="false" outlineLevel="0" collapsed="false">
      <c r="I579" s="5"/>
      <c r="J579" s="211"/>
      <c r="K579" s="5"/>
      <c r="L579" s="5"/>
      <c r="M579" s="5"/>
      <c r="T579" s="108"/>
      <c r="U579" s="7"/>
    </row>
    <row r="580" s="2" customFormat="true" ht="15" hidden="false" customHeight="false" outlineLevel="0" collapsed="false">
      <c r="I580" s="209"/>
      <c r="J580" s="210"/>
      <c r="K580" s="209"/>
      <c r="L580" s="209"/>
      <c r="M580" s="5"/>
      <c r="T580" s="109"/>
      <c r="U580" s="7"/>
    </row>
    <row r="581" s="2" customFormat="true" ht="15" hidden="false" customHeight="false" outlineLevel="0" collapsed="false">
      <c r="I581" s="5"/>
      <c r="J581" s="211"/>
      <c r="K581" s="5"/>
      <c r="L581" s="5"/>
      <c r="M581" s="5"/>
      <c r="T581" s="109"/>
      <c r="U581" s="7"/>
    </row>
    <row r="582" s="2" customFormat="true" ht="15" hidden="false" customHeight="false" outlineLevel="0" collapsed="false">
      <c r="I582" s="209"/>
      <c r="J582" s="210"/>
      <c r="K582" s="209"/>
      <c r="L582" s="209"/>
      <c r="M582" s="5"/>
      <c r="T582" s="109"/>
      <c r="U582" s="7"/>
    </row>
    <row r="583" s="2" customFormat="true" ht="15" hidden="false" customHeight="false" outlineLevel="0" collapsed="false">
      <c r="I583" s="5"/>
      <c r="J583" s="211"/>
      <c r="K583" s="5"/>
      <c r="L583" s="5"/>
      <c r="M583" s="5"/>
      <c r="T583" s="109"/>
      <c r="U583" s="7"/>
    </row>
    <row r="584" s="2" customFormat="true" ht="15" hidden="false" customHeight="false" outlineLevel="0" collapsed="false">
      <c r="I584" s="209"/>
      <c r="J584" s="210"/>
      <c r="K584" s="209"/>
      <c r="L584" s="209"/>
      <c r="M584" s="5"/>
      <c r="T584" s="109"/>
      <c r="U584" s="7"/>
    </row>
    <row r="585" s="2" customFormat="true" ht="15" hidden="false" customHeight="false" outlineLevel="0" collapsed="false">
      <c r="I585" s="5"/>
      <c r="J585" s="211"/>
      <c r="K585" s="5"/>
      <c r="L585" s="5"/>
      <c r="M585" s="5"/>
      <c r="T585" s="109"/>
      <c r="U585" s="7"/>
    </row>
    <row r="586" s="2" customFormat="true" ht="15" hidden="false" customHeight="false" outlineLevel="0" collapsed="false">
      <c r="I586" s="209"/>
      <c r="J586" s="210"/>
      <c r="K586" s="209"/>
      <c r="L586" s="209"/>
      <c r="M586" s="5"/>
      <c r="T586" s="109"/>
      <c r="U586" s="7"/>
    </row>
    <row r="587" s="2" customFormat="true" ht="15" hidden="false" customHeight="false" outlineLevel="0" collapsed="false">
      <c r="I587" s="5"/>
      <c r="J587" s="211"/>
      <c r="K587" s="5"/>
      <c r="L587" s="5"/>
      <c r="M587" s="5"/>
      <c r="T587" s="109"/>
      <c r="U587" s="7"/>
    </row>
    <row r="588" s="2" customFormat="true" ht="15" hidden="false" customHeight="false" outlineLevel="0" collapsed="false">
      <c r="I588" s="209"/>
      <c r="J588" s="210"/>
      <c r="K588" s="209"/>
      <c r="L588" s="209"/>
      <c r="M588" s="5"/>
      <c r="T588" s="109"/>
      <c r="U588" s="7"/>
    </row>
    <row r="589" s="2" customFormat="true" ht="15" hidden="false" customHeight="false" outlineLevel="0" collapsed="false">
      <c r="I589" s="5"/>
      <c r="J589" s="211"/>
      <c r="K589" s="5"/>
      <c r="L589" s="5"/>
      <c r="M589" s="5"/>
      <c r="T589" s="109"/>
      <c r="U589" s="7"/>
    </row>
    <row r="590" s="2" customFormat="true" ht="15" hidden="false" customHeight="false" outlineLevel="0" collapsed="false">
      <c r="I590" s="209"/>
      <c r="J590" s="210"/>
      <c r="K590" s="209"/>
      <c r="L590" s="209"/>
      <c r="M590" s="5"/>
      <c r="T590" s="109"/>
      <c r="U590" s="7"/>
    </row>
    <row r="591" s="2" customFormat="true" ht="15" hidden="false" customHeight="false" outlineLevel="0" collapsed="false">
      <c r="I591" s="5"/>
      <c r="J591" s="211"/>
      <c r="K591" s="5"/>
      <c r="L591" s="5"/>
      <c r="M591" s="5"/>
      <c r="T591" s="109"/>
      <c r="U591" s="7"/>
    </row>
    <row r="592" s="2" customFormat="true" ht="15" hidden="false" customHeight="false" outlineLevel="0" collapsed="false">
      <c r="I592" s="209"/>
      <c r="J592" s="210"/>
      <c r="K592" s="209"/>
      <c r="L592" s="209"/>
      <c r="M592" s="5"/>
      <c r="T592" s="109"/>
      <c r="U592" s="7"/>
    </row>
    <row r="593" s="2" customFormat="true" ht="15" hidden="false" customHeight="false" outlineLevel="0" collapsed="false">
      <c r="I593" s="5"/>
      <c r="J593" s="211"/>
      <c r="K593" s="5"/>
      <c r="L593" s="5"/>
      <c r="M593" s="5"/>
      <c r="T593" s="109"/>
      <c r="U593" s="7"/>
    </row>
    <row r="594" s="2" customFormat="true" ht="15" hidden="false" customHeight="false" outlineLevel="0" collapsed="false">
      <c r="I594" s="209"/>
      <c r="J594" s="210"/>
      <c r="K594" s="209"/>
      <c r="L594" s="209"/>
      <c r="M594" s="5"/>
      <c r="T594" s="109"/>
      <c r="U594" s="7"/>
    </row>
    <row r="595" s="2" customFormat="true" ht="15" hidden="false" customHeight="false" outlineLevel="0" collapsed="false">
      <c r="I595" s="5"/>
      <c r="J595" s="211"/>
      <c r="K595" s="5"/>
      <c r="L595" s="5"/>
      <c r="M595" s="5"/>
      <c r="T595" s="109"/>
      <c r="U595" s="7"/>
    </row>
    <row r="596" s="2" customFormat="true" ht="15" hidden="false" customHeight="false" outlineLevel="0" collapsed="false">
      <c r="I596" s="209"/>
      <c r="J596" s="210"/>
      <c r="K596" s="209"/>
      <c r="L596" s="209"/>
      <c r="M596" s="5"/>
      <c r="T596" s="109"/>
      <c r="U596" s="7"/>
    </row>
    <row r="597" s="2" customFormat="true" ht="15" hidden="false" customHeight="false" outlineLevel="0" collapsed="false">
      <c r="I597" s="5"/>
      <c r="J597" s="211"/>
      <c r="K597" s="5"/>
      <c r="L597" s="5"/>
      <c r="M597" s="5"/>
      <c r="T597" s="109"/>
      <c r="U597" s="7"/>
    </row>
    <row r="598" s="2" customFormat="true" ht="15" hidden="false" customHeight="false" outlineLevel="0" collapsed="false">
      <c r="I598" s="209"/>
      <c r="J598" s="210"/>
      <c r="K598" s="209"/>
      <c r="L598" s="209"/>
      <c r="M598" s="5"/>
      <c r="T598" s="109"/>
      <c r="U598" s="7"/>
    </row>
    <row r="599" s="2" customFormat="true" ht="15" hidden="false" customHeight="false" outlineLevel="0" collapsed="false">
      <c r="I599" s="5"/>
      <c r="J599" s="211"/>
      <c r="K599" s="5"/>
      <c r="L599" s="5"/>
      <c r="M599" s="5"/>
      <c r="T599" s="109"/>
      <c r="U599" s="7"/>
    </row>
    <row r="600" s="2" customFormat="true" ht="15" hidden="false" customHeight="false" outlineLevel="0" collapsed="false">
      <c r="I600" s="209"/>
      <c r="J600" s="210"/>
      <c r="K600" s="209"/>
      <c r="L600" s="209"/>
      <c r="M600" s="5"/>
      <c r="T600" s="109"/>
      <c r="U600" s="7"/>
    </row>
    <row r="601" s="2" customFormat="true" ht="15" hidden="false" customHeight="false" outlineLevel="0" collapsed="false">
      <c r="I601" s="5"/>
      <c r="J601" s="211"/>
      <c r="K601" s="5"/>
      <c r="L601" s="5"/>
      <c r="M601" s="5"/>
      <c r="T601" s="109"/>
      <c r="U601" s="7"/>
    </row>
    <row r="602" s="2" customFormat="true" ht="15" hidden="false" customHeight="false" outlineLevel="0" collapsed="false">
      <c r="I602" s="209"/>
      <c r="J602" s="210"/>
      <c r="K602" s="209"/>
      <c r="L602" s="209"/>
      <c r="M602" s="5"/>
      <c r="T602" s="109"/>
      <c r="U602" s="7"/>
    </row>
    <row r="603" s="2" customFormat="true" ht="15" hidden="false" customHeight="false" outlineLevel="0" collapsed="false">
      <c r="I603" s="5"/>
      <c r="J603" s="211"/>
      <c r="K603" s="5"/>
      <c r="L603" s="5"/>
      <c r="M603" s="5"/>
      <c r="T603" s="109"/>
      <c r="U603" s="7"/>
    </row>
    <row r="604" s="2" customFormat="true" ht="15" hidden="false" customHeight="false" outlineLevel="0" collapsed="false">
      <c r="I604" s="209"/>
      <c r="J604" s="210"/>
      <c r="K604" s="209"/>
      <c r="L604" s="209"/>
      <c r="M604" s="5"/>
      <c r="T604" s="109"/>
      <c r="U604" s="7"/>
    </row>
    <row r="605" s="2" customFormat="true" ht="15" hidden="false" customHeight="false" outlineLevel="0" collapsed="false">
      <c r="I605" s="5"/>
      <c r="J605" s="211"/>
      <c r="K605" s="5"/>
      <c r="L605" s="5"/>
      <c r="M605" s="5"/>
      <c r="T605" s="109"/>
      <c r="U605" s="7"/>
    </row>
    <row r="606" s="2" customFormat="true" ht="15" hidden="false" customHeight="false" outlineLevel="0" collapsed="false">
      <c r="I606" s="209"/>
      <c r="J606" s="210"/>
      <c r="K606" s="209"/>
      <c r="L606" s="209"/>
      <c r="M606" s="5"/>
      <c r="T606" s="109"/>
      <c r="U606" s="7"/>
    </row>
    <row r="607" s="2" customFormat="true" ht="15" hidden="false" customHeight="false" outlineLevel="0" collapsed="false">
      <c r="I607" s="5"/>
      <c r="J607" s="211"/>
      <c r="K607" s="5"/>
      <c r="L607" s="5"/>
      <c r="M607" s="5"/>
      <c r="T607" s="109"/>
      <c r="U607" s="7"/>
    </row>
    <row r="608" s="2" customFormat="true" ht="15" hidden="false" customHeight="false" outlineLevel="0" collapsed="false">
      <c r="I608" s="209"/>
      <c r="J608" s="210"/>
      <c r="K608" s="209"/>
      <c r="L608" s="209"/>
      <c r="M608" s="5"/>
      <c r="T608" s="109"/>
      <c r="U608" s="7"/>
    </row>
    <row r="609" s="2" customFormat="true" ht="15" hidden="false" customHeight="false" outlineLevel="0" collapsed="false">
      <c r="I609" s="5"/>
      <c r="J609" s="211"/>
      <c r="K609" s="5"/>
      <c r="L609" s="5"/>
      <c r="M609" s="5"/>
      <c r="T609" s="109"/>
      <c r="U609" s="7"/>
    </row>
    <row r="610" s="2" customFormat="true" ht="15" hidden="false" customHeight="false" outlineLevel="0" collapsed="false">
      <c r="I610" s="209"/>
      <c r="J610" s="210"/>
      <c r="K610" s="209"/>
      <c r="L610" s="209"/>
      <c r="M610" s="5"/>
      <c r="T610" s="109"/>
      <c r="U610" s="7"/>
    </row>
    <row r="611" s="2" customFormat="true" ht="15" hidden="false" customHeight="false" outlineLevel="0" collapsed="false">
      <c r="I611" s="5"/>
      <c r="J611" s="211"/>
      <c r="K611" s="5"/>
      <c r="L611" s="5"/>
      <c r="M611" s="5"/>
      <c r="T611" s="109"/>
      <c r="U611" s="7"/>
    </row>
    <row r="612" s="2" customFormat="true" ht="15" hidden="false" customHeight="false" outlineLevel="0" collapsed="false">
      <c r="I612" s="209"/>
      <c r="J612" s="210"/>
      <c r="K612" s="209"/>
      <c r="L612" s="209"/>
      <c r="M612" s="5"/>
      <c r="T612" s="109"/>
      <c r="U612" s="7"/>
    </row>
    <row r="613" s="2" customFormat="true" ht="15" hidden="false" customHeight="false" outlineLevel="0" collapsed="false">
      <c r="I613" s="5"/>
      <c r="J613" s="211"/>
      <c r="K613" s="5"/>
      <c r="L613" s="5"/>
      <c r="M613" s="5"/>
      <c r="T613" s="109"/>
      <c r="U613" s="7"/>
    </row>
    <row r="614" s="2" customFormat="true" ht="15" hidden="false" customHeight="false" outlineLevel="0" collapsed="false">
      <c r="I614" s="209"/>
      <c r="J614" s="210"/>
      <c r="K614" s="209"/>
      <c r="L614" s="209"/>
      <c r="M614" s="5"/>
      <c r="T614" s="109"/>
      <c r="U614" s="7"/>
    </row>
    <row r="615" s="2" customFormat="true" ht="15" hidden="false" customHeight="false" outlineLevel="0" collapsed="false">
      <c r="I615" s="5"/>
      <c r="J615" s="211"/>
      <c r="K615" s="5"/>
      <c r="L615" s="5"/>
      <c r="M615" s="5"/>
      <c r="T615" s="109"/>
      <c r="U615" s="7"/>
    </row>
    <row r="616" s="2" customFormat="true" ht="15" hidden="false" customHeight="false" outlineLevel="0" collapsed="false">
      <c r="I616" s="209"/>
      <c r="J616" s="210"/>
      <c r="K616" s="209"/>
      <c r="L616" s="209"/>
      <c r="M616" s="5"/>
      <c r="T616" s="109"/>
      <c r="U616" s="7"/>
    </row>
    <row r="617" s="2" customFormat="true" ht="15" hidden="false" customHeight="false" outlineLevel="0" collapsed="false">
      <c r="I617" s="5"/>
      <c r="J617" s="211"/>
      <c r="K617" s="5"/>
      <c r="L617" s="5"/>
      <c r="M617" s="5"/>
      <c r="T617" s="109"/>
      <c r="U617" s="7"/>
    </row>
    <row r="618" s="2" customFormat="true" ht="15" hidden="false" customHeight="false" outlineLevel="0" collapsed="false">
      <c r="I618" s="209"/>
      <c r="J618" s="210"/>
      <c r="K618" s="209"/>
      <c r="L618" s="209"/>
      <c r="M618" s="5"/>
      <c r="T618" s="109"/>
      <c r="U618" s="7"/>
    </row>
    <row r="619" s="2" customFormat="true" ht="15" hidden="false" customHeight="false" outlineLevel="0" collapsed="false">
      <c r="I619" s="5"/>
      <c r="J619" s="211"/>
      <c r="K619" s="5"/>
      <c r="L619" s="5"/>
      <c r="M619" s="5"/>
      <c r="T619" s="109"/>
      <c r="U619" s="7"/>
    </row>
    <row r="620" s="2" customFormat="true" ht="15" hidden="false" customHeight="false" outlineLevel="0" collapsed="false">
      <c r="I620" s="209"/>
      <c r="J620" s="210"/>
      <c r="K620" s="209"/>
      <c r="L620" s="209"/>
      <c r="M620" s="5"/>
      <c r="T620" s="109"/>
      <c r="U620" s="7"/>
    </row>
    <row r="621" s="2" customFormat="true" ht="15" hidden="false" customHeight="false" outlineLevel="0" collapsed="false">
      <c r="I621" s="5"/>
      <c r="J621" s="211"/>
      <c r="K621" s="5"/>
      <c r="L621" s="5"/>
      <c r="M621" s="5"/>
      <c r="T621" s="109"/>
      <c r="U621" s="7"/>
    </row>
    <row r="622" s="2" customFormat="true" ht="15" hidden="false" customHeight="false" outlineLevel="0" collapsed="false">
      <c r="I622" s="209"/>
      <c r="J622" s="210"/>
      <c r="K622" s="209"/>
      <c r="L622" s="209"/>
      <c r="M622" s="5"/>
      <c r="T622" s="109"/>
      <c r="U622" s="7"/>
    </row>
    <row r="623" s="2" customFormat="true" ht="15" hidden="false" customHeight="false" outlineLevel="0" collapsed="false">
      <c r="I623" s="5"/>
      <c r="J623" s="211"/>
      <c r="K623" s="5"/>
      <c r="L623" s="5"/>
      <c r="M623" s="5"/>
      <c r="T623" s="109"/>
      <c r="U623" s="7"/>
    </row>
    <row r="624" s="2" customFormat="true" ht="15" hidden="false" customHeight="false" outlineLevel="0" collapsed="false">
      <c r="I624" s="209"/>
      <c r="J624" s="210"/>
      <c r="K624" s="209"/>
      <c r="L624" s="209"/>
      <c r="M624" s="5"/>
      <c r="T624" s="109"/>
      <c r="U624" s="7"/>
    </row>
    <row r="625" s="2" customFormat="true" ht="15" hidden="false" customHeight="false" outlineLevel="0" collapsed="false">
      <c r="I625" s="5"/>
      <c r="J625" s="211"/>
      <c r="K625" s="5"/>
      <c r="L625" s="5"/>
      <c r="M625" s="5"/>
      <c r="T625" s="109"/>
      <c r="U625" s="7"/>
    </row>
    <row r="626" s="2" customFormat="true" ht="15" hidden="false" customHeight="false" outlineLevel="0" collapsed="false">
      <c r="I626" s="209"/>
      <c r="J626" s="210"/>
      <c r="K626" s="209"/>
      <c r="L626" s="209"/>
      <c r="M626" s="5"/>
      <c r="T626" s="109"/>
      <c r="U626" s="7"/>
    </row>
    <row r="627" s="2" customFormat="true" ht="15" hidden="false" customHeight="false" outlineLevel="0" collapsed="false">
      <c r="I627" s="5"/>
      <c r="J627" s="211"/>
      <c r="K627" s="5"/>
      <c r="L627" s="5"/>
      <c r="M627" s="5"/>
      <c r="T627" s="109"/>
      <c r="U627" s="7"/>
    </row>
    <row r="628" s="2" customFormat="true" ht="15" hidden="false" customHeight="false" outlineLevel="0" collapsed="false">
      <c r="I628" s="209"/>
      <c r="J628" s="210"/>
      <c r="K628" s="209"/>
      <c r="L628" s="209"/>
      <c r="M628" s="5"/>
      <c r="T628" s="109"/>
      <c r="U628" s="7"/>
    </row>
    <row r="629" s="2" customFormat="true" ht="15" hidden="false" customHeight="false" outlineLevel="0" collapsed="false">
      <c r="I629" s="5"/>
      <c r="J629" s="211"/>
      <c r="K629" s="5"/>
      <c r="L629" s="5"/>
      <c r="M629" s="5"/>
      <c r="T629" s="109"/>
      <c r="U629" s="7"/>
    </row>
    <row r="630" s="2" customFormat="true" ht="15" hidden="false" customHeight="false" outlineLevel="0" collapsed="false">
      <c r="I630" s="209"/>
      <c r="J630" s="210"/>
      <c r="K630" s="209"/>
      <c r="L630" s="209"/>
      <c r="M630" s="5"/>
      <c r="T630" s="109"/>
      <c r="U630" s="7"/>
    </row>
    <row r="631" s="2" customFormat="true" ht="15" hidden="false" customHeight="false" outlineLevel="0" collapsed="false">
      <c r="I631" s="5"/>
      <c r="J631" s="211"/>
      <c r="K631" s="5"/>
      <c r="L631" s="5"/>
      <c r="M631" s="5"/>
      <c r="T631" s="109"/>
      <c r="U631" s="7"/>
    </row>
    <row r="632" s="2" customFormat="true" ht="15" hidden="false" customHeight="false" outlineLevel="0" collapsed="false">
      <c r="I632" s="209"/>
      <c r="J632" s="210"/>
      <c r="K632" s="209"/>
      <c r="L632" s="209"/>
      <c r="M632" s="5"/>
      <c r="T632" s="109"/>
      <c r="U632" s="7"/>
    </row>
    <row r="633" s="2" customFormat="true" ht="15" hidden="false" customHeight="false" outlineLevel="0" collapsed="false">
      <c r="I633" s="5"/>
      <c r="J633" s="211"/>
      <c r="K633" s="5"/>
      <c r="L633" s="5"/>
      <c r="M633" s="5"/>
      <c r="T633" s="109"/>
      <c r="U633" s="7"/>
    </row>
    <row r="634" s="2" customFormat="true" ht="15" hidden="false" customHeight="false" outlineLevel="0" collapsed="false">
      <c r="I634" s="209"/>
      <c r="J634" s="210"/>
      <c r="K634" s="209"/>
      <c r="L634" s="209"/>
      <c r="M634" s="5"/>
      <c r="T634" s="109"/>
      <c r="U634" s="7"/>
    </row>
    <row r="635" s="2" customFormat="true" ht="15" hidden="false" customHeight="false" outlineLevel="0" collapsed="false">
      <c r="I635" s="5"/>
      <c r="J635" s="211"/>
      <c r="K635" s="5"/>
      <c r="L635" s="5"/>
      <c r="M635" s="5"/>
      <c r="T635" s="109"/>
      <c r="U635" s="7"/>
    </row>
    <row r="636" s="2" customFormat="true" ht="15" hidden="false" customHeight="false" outlineLevel="0" collapsed="false">
      <c r="I636" s="209"/>
      <c r="J636" s="210"/>
      <c r="K636" s="209"/>
      <c r="L636" s="209"/>
      <c r="M636" s="5"/>
      <c r="T636" s="109"/>
      <c r="U636" s="7"/>
    </row>
    <row r="637" s="2" customFormat="true" ht="15" hidden="false" customHeight="false" outlineLevel="0" collapsed="false">
      <c r="I637" s="5"/>
      <c r="J637" s="211"/>
      <c r="K637" s="5"/>
      <c r="L637" s="5"/>
      <c r="M637" s="5"/>
      <c r="T637" s="109"/>
      <c r="U637" s="7"/>
    </row>
    <row r="638" s="2" customFormat="true" ht="15" hidden="false" customHeight="false" outlineLevel="0" collapsed="false">
      <c r="I638" s="209"/>
      <c r="J638" s="210"/>
      <c r="K638" s="209"/>
      <c r="L638" s="209"/>
      <c r="M638" s="5"/>
      <c r="T638" s="109"/>
      <c r="U638" s="7"/>
    </row>
    <row r="639" s="2" customFormat="true" ht="15" hidden="false" customHeight="false" outlineLevel="0" collapsed="false">
      <c r="I639" s="5"/>
      <c r="J639" s="211"/>
      <c r="K639" s="5"/>
      <c r="L639" s="5"/>
      <c r="M639" s="5"/>
      <c r="T639" s="109"/>
      <c r="U639" s="7"/>
    </row>
    <row r="640" s="2" customFormat="true" ht="15" hidden="false" customHeight="false" outlineLevel="0" collapsed="false">
      <c r="I640" s="209"/>
      <c r="J640" s="210"/>
      <c r="K640" s="209"/>
      <c r="L640" s="209"/>
      <c r="M640" s="5"/>
      <c r="T640" s="109"/>
      <c r="U640" s="7"/>
    </row>
    <row r="641" s="2" customFormat="true" ht="15" hidden="false" customHeight="false" outlineLevel="0" collapsed="false">
      <c r="I641" s="5"/>
      <c r="J641" s="211"/>
      <c r="K641" s="5"/>
      <c r="L641" s="5"/>
      <c r="M641" s="5"/>
      <c r="T641" s="109"/>
      <c r="U641" s="7"/>
    </row>
    <row r="642" s="2" customFormat="true" ht="15" hidden="false" customHeight="false" outlineLevel="0" collapsed="false">
      <c r="I642" s="209"/>
      <c r="J642" s="210"/>
      <c r="K642" s="209"/>
      <c r="L642" s="209"/>
      <c r="M642" s="5"/>
      <c r="T642" s="109"/>
      <c r="U642" s="7"/>
    </row>
    <row r="643" s="2" customFormat="true" ht="15" hidden="false" customHeight="false" outlineLevel="0" collapsed="false">
      <c r="I643" s="5"/>
      <c r="J643" s="211"/>
      <c r="K643" s="5"/>
      <c r="L643" s="5"/>
      <c r="M643" s="5"/>
      <c r="T643" s="109"/>
      <c r="U643" s="7"/>
    </row>
    <row r="644" s="2" customFormat="true" ht="15" hidden="false" customHeight="false" outlineLevel="0" collapsed="false">
      <c r="I644" s="209"/>
      <c r="J644" s="210"/>
      <c r="K644" s="209"/>
      <c r="L644" s="209"/>
      <c r="M644" s="5"/>
      <c r="T644" s="109"/>
      <c r="U644" s="7"/>
    </row>
    <row r="645" s="2" customFormat="true" ht="15" hidden="false" customHeight="false" outlineLevel="0" collapsed="false">
      <c r="I645" s="5"/>
      <c r="J645" s="211"/>
      <c r="K645" s="5"/>
      <c r="L645" s="5"/>
      <c r="M645" s="5"/>
      <c r="T645" s="109"/>
      <c r="U645" s="7"/>
    </row>
    <row r="646" s="2" customFormat="true" ht="15" hidden="false" customHeight="false" outlineLevel="0" collapsed="false">
      <c r="I646" s="209"/>
      <c r="J646" s="210"/>
      <c r="K646" s="209"/>
      <c r="L646" s="209"/>
      <c r="M646" s="5"/>
      <c r="T646" s="109"/>
      <c r="U646" s="7"/>
    </row>
    <row r="647" s="2" customFormat="true" ht="15" hidden="false" customHeight="false" outlineLevel="0" collapsed="false">
      <c r="I647" s="5"/>
      <c r="J647" s="211"/>
      <c r="K647" s="5"/>
      <c r="L647" s="5"/>
      <c r="M647" s="5"/>
      <c r="T647" s="109"/>
      <c r="U647" s="7"/>
    </row>
    <row r="648" s="2" customFormat="true" ht="15" hidden="false" customHeight="false" outlineLevel="0" collapsed="false">
      <c r="I648" s="209"/>
      <c r="J648" s="210"/>
      <c r="K648" s="209"/>
      <c r="L648" s="209"/>
      <c r="M648" s="5"/>
      <c r="T648" s="109"/>
      <c r="U648" s="7"/>
    </row>
    <row r="649" s="2" customFormat="true" ht="15" hidden="false" customHeight="false" outlineLevel="0" collapsed="false">
      <c r="I649" s="5"/>
      <c r="J649" s="211"/>
      <c r="K649" s="5"/>
      <c r="L649" s="5"/>
      <c r="M649" s="5"/>
      <c r="T649" s="109"/>
      <c r="U649" s="7"/>
    </row>
    <row r="650" s="2" customFormat="true" ht="15" hidden="false" customHeight="false" outlineLevel="0" collapsed="false">
      <c r="I650" s="209"/>
      <c r="J650" s="210"/>
      <c r="K650" s="209"/>
      <c r="L650" s="209"/>
      <c r="M650" s="5"/>
      <c r="T650" s="109"/>
      <c r="U650" s="7"/>
    </row>
    <row r="651" s="2" customFormat="true" ht="15" hidden="false" customHeight="false" outlineLevel="0" collapsed="false">
      <c r="I651" s="5"/>
      <c r="J651" s="211"/>
      <c r="K651" s="5"/>
      <c r="L651" s="5"/>
      <c r="M651" s="5"/>
      <c r="T651" s="109"/>
      <c r="U651" s="7"/>
    </row>
    <row r="652" s="2" customFormat="true" ht="15" hidden="false" customHeight="false" outlineLevel="0" collapsed="false">
      <c r="I652" s="209"/>
      <c r="J652" s="210"/>
      <c r="K652" s="209"/>
      <c r="L652" s="209"/>
      <c r="M652" s="5"/>
      <c r="T652" s="109"/>
      <c r="U652" s="7"/>
    </row>
    <row r="653" s="2" customFormat="true" ht="15" hidden="false" customHeight="false" outlineLevel="0" collapsed="false">
      <c r="I653" s="5"/>
      <c r="J653" s="211"/>
      <c r="K653" s="5"/>
      <c r="L653" s="5"/>
      <c r="M653" s="5"/>
      <c r="T653" s="109"/>
      <c r="U653" s="7"/>
    </row>
    <row r="654" s="2" customFormat="true" ht="15" hidden="false" customHeight="false" outlineLevel="0" collapsed="false">
      <c r="I654" s="209"/>
      <c r="J654" s="210"/>
      <c r="K654" s="209"/>
      <c r="L654" s="209"/>
      <c r="M654" s="5"/>
      <c r="T654" s="109"/>
      <c r="U654" s="7"/>
    </row>
    <row r="655" s="2" customFormat="true" ht="15" hidden="false" customHeight="false" outlineLevel="0" collapsed="false">
      <c r="I655" s="5"/>
      <c r="J655" s="211"/>
      <c r="K655" s="5"/>
      <c r="L655" s="5"/>
      <c r="M655" s="5"/>
      <c r="T655" s="109"/>
      <c r="U655" s="7"/>
    </row>
    <row r="656" s="2" customFormat="true" ht="15" hidden="false" customHeight="false" outlineLevel="0" collapsed="false">
      <c r="I656" s="209"/>
      <c r="J656" s="210"/>
      <c r="K656" s="209"/>
      <c r="L656" s="209"/>
      <c r="M656" s="5"/>
      <c r="T656" s="109"/>
      <c r="U656" s="7"/>
    </row>
    <row r="657" s="2" customFormat="true" ht="15" hidden="false" customHeight="false" outlineLevel="0" collapsed="false">
      <c r="I657" s="5"/>
      <c r="J657" s="211"/>
      <c r="K657" s="5"/>
      <c r="L657" s="5"/>
      <c r="M657" s="5"/>
      <c r="T657" s="109"/>
      <c r="U657" s="7"/>
    </row>
    <row r="658" s="2" customFormat="true" ht="15" hidden="false" customHeight="false" outlineLevel="0" collapsed="false">
      <c r="I658" s="209"/>
      <c r="J658" s="210"/>
      <c r="K658" s="209"/>
      <c r="L658" s="209"/>
      <c r="M658" s="5"/>
      <c r="T658" s="109"/>
      <c r="U658" s="7"/>
    </row>
    <row r="659" s="2" customFormat="true" ht="15" hidden="false" customHeight="false" outlineLevel="0" collapsed="false">
      <c r="I659" s="5"/>
      <c r="J659" s="211"/>
      <c r="K659" s="5"/>
      <c r="L659" s="5"/>
      <c r="M659" s="5"/>
      <c r="T659" s="109"/>
      <c r="U659" s="7"/>
    </row>
    <row r="660" s="2" customFormat="true" ht="15" hidden="false" customHeight="false" outlineLevel="0" collapsed="false">
      <c r="I660" s="209"/>
      <c r="J660" s="210"/>
      <c r="K660" s="209"/>
      <c r="L660" s="209"/>
      <c r="M660" s="5"/>
      <c r="T660" s="109"/>
      <c r="U660" s="7"/>
    </row>
    <row r="661" s="2" customFormat="true" ht="15" hidden="false" customHeight="false" outlineLevel="0" collapsed="false">
      <c r="I661" s="5"/>
      <c r="J661" s="211"/>
      <c r="K661" s="5"/>
      <c r="L661" s="5"/>
      <c r="M661" s="5"/>
      <c r="T661" s="109"/>
      <c r="U661" s="7"/>
    </row>
    <row r="662" s="2" customFormat="true" ht="15" hidden="false" customHeight="false" outlineLevel="0" collapsed="false">
      <c r="I662" s="209"/>
      <c r="J662" s="210"/>
      <c r="K662" s="209"/>
      <c r="L662" s="209"/>
      <c r="M662" s="5"/>
      <c r="T662" s="109"/>
      <c r="U662" s="7"/>
    </row>
    <row r="663" s="2" customFormat="true" ht="15" hidden="false" customHeight="false" outlineLevel="0" collapsed="false">
      <c r="I663" s="5"/>
      <c r="J663" s="211"/>
      <c r="K663" s="5"/>
      <c r="L663" s="5"/>
      <c r="M663" s="5"/>
      <c r="T663" s="109"/>
      <c r="U663" s="7"/>
    </row>
    <row r="664" s="2" customFormat="true" ht="15" hidden="false" customHeight="false" outlineLevel="0" collapsed="false">
      <c r="I664" s="209"/>
      <c r="J664" s="210"/>
      <c r="K664" s="209"/>
      <c r="L664" s="209"/>
      <c r="M664" s="5"/>
      <c r="T664" s="109"/>
      <c r="U664" s="7"/>
    </row>
    <row r="665" s="2" customFormat="true" ht="15" hidden="false" customHeight="false" outlineLevel="0" collapsed="false">
      <c r="I665" s="5"/>
      <c r="J665" s="211"/>
      <c r="K665" s="5"/>
      <c r="L665" s="5"/>
      <c r="M665" s="5"/>
      <c r="T665" s="109"/>
      <c r="U665" s="7"/>
    </row>
    <row r="666" s="2" customFormat="true" ht="15" hidden="false" customHeight="false" outlineLevel="0" collapsed="false">
      <c r="I666" s="209"/>
      <c r="J666" s="210"/>
      <c r="K666" s="209"/>
      <c r="L666" s="209"/>
      <c r="M666" s="5"/>
      <c r="T666" s="109"/>
      <c r="U666" s="7"/>
    </row>
    <row r="667" s="2" customFormat="true" ht="15" hidden="false" customHeight="false" outlineLevel="0" collapsed="false">
      <c r="I667" s="5"/>
      <c r="J667" s="211"/>
      <c r="K667" s="5"/>
      <c r="L667" s="5"/>
      <c r="M667" s="5"/>
      <c r="T667" s="109"/>
      <c r="U667" s="7"/>
    </row>
    <row r="668" s="2" customFormat="true" ht="15" hidden="false" customHeight="false" outlineLevel="0" collapsed="false">
      <c r="I668" s="209"/>
      <c r="J668" s="210"/>
      <c r="K668" s="209"/>
      <c r="L668" s="209"/>
      <c r="M668" s="5"/>
      <c r="T668" s="109"/>
      <c r="U668" s="7"/>
    </row>
    <row r="669" s="2" customFormat="true" ht="15" hidden="false" customHeight="false" outlineLevel="0" collapsed="false">
      <c r="I669" s="5"/>
      <c r="J669" s="211"/>
      <c r="K669" s="5"/>
      <c r="L669" s="5"/>
      <c r="M669" s="5"/>
      <c r="T669" s="109"/>
      <c r="U669" s="7"/>
    </row>
    <row r="670" s="2" customFormat="true" ht="15" hidden="false" customHeight="false" outlineLevel="0" collapsed="false">
      <c r="I670" s="209"/>
      <c r="J670" s="210"/>
      <c r="K670" s="209"/>
      <c r="L670" s="209"/>
      <c r="M670" s="5"/>
      <c r="T670" s="109"/>
      <c r="U670" s="7"/>
    </row>
    <row r="671" s="2" customFormat="true" ht="15" hidden="false" customHeight="false" outlineLevel="0" collapsed="false">
      <c r="I671" s="5"/>
      <c r="J671" s="211"/>
      <c r="K671" s="5"/>
      <c r="L671" s="5"/>
      <c r="M671" s="5"/>
      <c r="T671" s="109"/>
      <c r="U671" s="7"/>
    </row>
    <row r="672" s="2" customFormat="true" ht="15" hidden="false" customHeight="false" outlineLevel="0" collapsed="false">
      <c r="I672" s="209"/>
      <c r="J672" s="210"/>
      <c r="K672" s="209"/>
      <c r="L672" s="209"/>
      <c r="M672" s="5"/>
      <c r="T672" s="109"/>
      <c r="U672" s="7"/>
    </row>
    <row r="673" s="2" customFormat="true" ht="15" hidden="false" customHeight="false" outlineLevel="0" collapsed="false">
      <c r="I673" s="5"/>
      <c r="J673" s="211"/>
      <c r="K673" s="5"/>
      <c r="L673" s="5"/>
      <c r="M673" s="5"/>
      <c r="T673" s="109"/>
      <c r="U673" s="7"/>
    </row>
    <row r="674" s="2" customFormat="true" ht="15" hidden="false" customHeight="false" outlineLevel="0" collapsed="false">
      <c r="I674" s="209"/>
      <c r="J674" s="210"/>
      <c r="K674" s="209"/>
      <c r="L674" s="209"/>
      <c r="M674" s="5"/>
      <c r="T674" s="109"/>
      <c r="U674" s="7"/>
    </row>
    <row r="675" s="2" customFormat="true" ht="15" hidden="false" customHeight="false" outlineLevel="0" collapsed="false">
      <c r="I675" s="5"/>
      <c r="J675" s="211"/>
      <c r="K675" s="5"/>
      <c r="L675" s="5"/>
      <c r="M675" s="5"/>
      <c r="T675" s="109"/>
      <c r="U675" s="7"/>
    </row>
    <row r="676" s="2" customFormat="true" ht="15" hidden="false" customHeight="false" outlineLevel="0" collapsed="false">
      <c r="I676" s="209"/>
      <c r="J676" s="210"/>
      <c r="K676" s="209"/>
      <c r="L676" s="209"/>
      <c r="M676" s="5"/>
      <c r="T676" s="109"/>
      <c r="U676" s="7"/>
    </row>
    <row r="677" s="2" customFormat="true" ht="15" hidden="false" customHeight="false" outlineLevel="0" collapsed="false">
      <c r="I677" s="5"/>
      <c r="J677" s="211"/>
      <c r="K677" s="5"/>
      <c r="L677" s="5"/>
      <c r="M677" s="5"/>
      <c r="T677" s="109"/>
      <c r="U677" s="7"/>
    </row>
    <row r="678" s="2" customFormat="true" ht="15" hidden="false" customHeight="false" outlineLevel="0" collapsed="false">
      <c r="I678" s="209"/>
      <c r="J678" s="210"/>
      <c r="K678" s="209"/>
      <c r="L678" s="209"/>
      <c r="M678" s="5"/>
      <c r="T678" s="109"/>
      <c r="U678" s="7"/>
    </row>
    <row r="679" s="2" customFormat="true" ht="15" hidden="false" customHeight="false" outlineLevel="0" collapsed="false">
      <c r="I679" s="5"/>
      <c r="J679" s="211"/>
      <c r="K679" s="5"/>
      <c r="L679" s="5"/>
      <c r="M679" s="5"/>
      <c r="T679" s="109"/>
      <c r="U679" s="7"/>
    </row>
    <row r="680" s="2" customFormat="true" ht="15" hidden="false" customHeight="false" outlineLevel="0" collapsed="false">
      <c r="I680" s="209"/>
      <c r="J680" s="210"/>
      <c r="K680" s="209"/>
      <c r="L680" s="209"/>
      <c r="M680" s="5"/>
      <c r="T680" s="109"/>
      <c r="U680" s="7"/>
    </row>
    <row r="681" s="2" customFormat="true" ht="15" hidden="false" customHeight="false" outlineLevel="0" collapsed="false">
      <c r="I681" s="5"/>
      <c r="J681" s="211"/>
      <c r="K681" s="5"/>
      <c r="L681" s="5"/>
      <c r="M681" s="5"/>
      <c r="T681" s="109"/>
      <c r="U681" s="7"/>
    </row>
    <row r="682" s="2" customFormat="true" ht="15" hidden="false" customHeight="false" outlineLevel="0" collapsed="false">
      <c r="I682" s="209"/>
      <c r="J682" s="210"/>
      <c r="K682" s="209"/>
      <c r="L682" s="209"/>
      <c r="M682" s="5"/>
      <c r="T682" s="109"/>
      <c r="U682" s="7"/>
    </row>
    <row r="683" s="2" customFormat="true" ht="15" hidden="false" customHeight="false" outlineLevel="0" collapsed="false">
      <c r="I683" s="5"/>
      <c r="J683" s="211"/>
      <c r="K683" s="5"/>
      <c r="L683" s="5"/>
      <c r="M683" s="5"/>
      <c r="T683" s="109"/>
      <c r="U683" s="7"/>
    </row>
    <row r="684" s="2" customFormat="true" ht="15" hidden="false" customHeight="false" outlineLevel="0" collapsed="false">
      <c r="I684" s="209"/>
      <c r="J684" s="210"/>
      <c r="K684" s="209"/>
      <c r="L684" s="209"/>
      <c r="M684" s="5"/>
      <c r="T684" s="109"/>
      <c r="U684" s="7"/>
    </row>
    <row r="685" s="2" customFormat="true" ht="15" hidden="false" customHeight="false" outlineLevel="0" collapsed="false">
      <c r="I685" s="5"/>
      <c r="J685" s="211"/>
      <c r="K685" s="5"/>
      <c r="L685" s="5"/>
      <c r="M685" s="5"/>
      <c r="T685" s="109"/>
      <c r="U685" s="7"/>
    </row>
    <row r="686" s="2" customFormat="true" ht="15" hidden="false" customHeight="false" outlineLevel="0" collapsed="false">
      <c r="I686" s="209"/>
      <c r="J686" s="210"/>
      <c r="K686" s="209"/>
      <c r="L686" s="209"/>
      <c r="M686" s="5"/>
      <c r="T686" s="109"/>
      <c r="U686" s="7"/>
    </row>
    <row r="687" s="2" customFormat="true" ht="15" hidden="false" customHeight="false" outlineLevel="0" collapsed="false">
      <c r="I687" s="5"/>
      <c r="J687" s="211"/>
      <c r="K687" s="5"/>
      <c r="L687" s="5"/>
      <c r="M687" s="5"/>
      <c r="T687" s="109"/>
      <c r="U687" s="7"/>
    </row>
    <row r="688" s="2" customFormat="true" ht="15" hidden="false" customHeight="false" outlineLevel="0" collapsed="false">
      <c r="I688" s="209"/>
      <c r="J688" s="210"/>
      <c r="K688" s="209"/>
      <c r="L688" s="209"/>
      <c r="M688" s="5"/>
      <c r="T688" s="109"/>
      <c r="U688" s="7"/>
    </row>
    <row r="689" s="2" customFormat="true" ht="15" hidden="false" customHeight="false" outlineLevel="0" collapsed="false">
      <c r="I689" s="5"/>
      <c r="J689" s="211"/>
      <c r="K689" s="5"/>
      <c r="L689" s="5"/>
      <c r="M689" s="5"/>
      <c r="T689" s="109"/>
      <c r="U689" s="7"/>
    </row>
    <row r="690" s="2" customFormat="true" ht="15" hidden="false" customHeight="false" outlineLevel="0" collapsed="false">
      <c r="I690" s="209"/>
      <c r="J690" s="210"/>
      <c r="K690" s="209"/>
      <c r="L690" s="209"/>
      <c r="M690" s="5"/>
      <c r="T690" s="109"/>
      <c r="U690" s="7"/>
    </row>
    <row r="691" s="2" customFormat="true" ht="15" hidden="false" customHeight="false" outlineLevel="0" collapsed="false">
      <c r="I691" s="5"/>
      <c r="J691" s="211"/>
      <c r="K691" s="5"/>
      <c r="L691" s="5"/>
      <c r="M691" s="5"/>
      <c r="T691" s="109"/>
      <c r="U691" s="7"/>
    </row>
    <row r="692" s="2" customFormat="true" ht="15" hidden="false" customHeight="false" outlineLevel="0" collapsed="false">
      <c r="I692" s="209"/>
      <c r="J692" s="210"/>
      <c r="K692" s="209"/>
      <c r="L692" s="209"/>
      <c r="M692" s="5"/>
      <c r="T692" s="109"/>
      <c r="U692" s="7"/>
    </row>
    <row r="693" s="2" customFormat="true" ht="15" hidden="false" customHeight="false" outlineLevel="0" collapsed="false">
      <c r="I693" s="5"/>
      <c r="J693" s="211"/>
      <c r="K693" s="5"/>
      <c r="L693" s="5"/>
      <c r="M693" s="5"/>
      <c r="T693" s="109"/>
      <c r="U693" s="7"/>
    </row>
    <row r="694" s="2" customFormat="true" ht="15" hidden="false" customHeight="false" outlineLevel="0" collapsed="false">
      <c r="I694" s="209"/>
      <c r="J694" s="210"/>
      <c r="K694" s="209"/>
      <c r="L694" s="209"/>
      <c r="M694" s="5"/>
      <c r="T694" s="109"/>
      <c r="U694" s="7"/>
    </row>
    <row r="695" s="2" customFormat="true" ht="15" hidden="false" customHeight="false" outlineLevel="0" collapsed="false">
      <c r="I695" s="5"/>
      <c r="J695" s="211"/>
      <c r="K695" s="5"/>
      <c r="L695" s="5"/>
      <c r="M695" s="5"/>
      <c r="T695" s="109"/>
      <c r="U695" s="7"/>
    </row>
    <row r="696" s="2" customFormat="true" ht="15" hidden="false" customHeight="false" outlineLevel="0" collapsed="false">
      <c r="I696" s="209"/>
      <c r="J696" s="210"/>
      <c r="K696" s="209"/>
      <c r="L696" s="209"/>
      <c r="M696" s="5"/>
      <c r="T696" s="109"/>
      <c r="U696" s="7"/>
    </row>
    <row r="697" s="2" customFormat="true" ht="15" hidden="false" customHeight="false" outlineLevel="0" collapsed="false">
      <c r="I697" s="5"/>
      <c r="J697" s="211"/>
      <c r="K697" s="5"/>
      <c r="L697" s="5"/>
      <c r="M697" s="5"/>
      <c r="T697" s="109"/>
      <c r="U697" s="7"/>
    </row>
    <row r="698" s="2" customFormat="true" ht="15" hidden="false" customHeight="false" outlineLevel="0" collapsed="false">
      <c r="I698" s="209"/>
      <c r="J698" s="210"/>
      <c r="K698" s="209"/>
      <c r="L698" s="209"/>
      <c r="M698" s="5"/>
      <c r="T698" s="109"/>
      <c r="U698" s="7"/>
    </row>
    <row r="699" s="2" customFormat="true" ht="15" hidden="false" customHeight="false" outlineLevel="0" collapsed="false">
      <c r="I699" s="5"/>
      <c r="J699" s="211"/>
      <c r="K699" s="5"/>
      <c r="L699" s="5"/>
      <c r="M699" s="5"/>
      <c r="T699" s="109"/>
      <c r="U699" s="7"/>
    </row>
    <row r="700" s="2" customFormat="true" ht="15" hidden="false" customHeight="false" outlineLevel="0" collapsed="false">
      <c r="I700" s="209"/>
      <c r="J700" s="210"/>
      <c r="K700" s="209"/>
      <c r="L700" s="209"/>
      <c r="M700" s="5"/>
      <c r="T700" s="109"/>
      <c r="U700" s="7"/>
    </row>
    <row r="701" s="2" customFormat="true" ht="15" hidden="false" customHeight="false" outlineLevel="0" collapsed="false">
      <c r="I701" s="5"/>
      <c r="J701" s="211"/>
      <c r="K701" s="5"/>
      <c r="L701" s="5"/>
      <c r="M701" s="5"/>
      <c r="T701" s="109"/>
      <c r="U701" s="7"/>
    </row>
    <row r="702" s="2" customFormat="true" ht="15" hidden="false" customHeight="false" outlineLevel="0" collapsed="false">
      <c r="I702" s="209"/>
      <c r="J702" s="210"/>
      <c r="K702" s="209"/>
      <c r="L702" s="209"/>
      <c r="M702" s="5"/>
      <c r="T702" s="109"/>
      <c r="U702" s="7"/>
    </row>
    <row r="703" s="2" customFormat="true" ht="15" hidden="false" customHeight="false" outlineLevel="0" collapsed="false">
      <c r="I703" s="5"/>
      <c r="J703" s="211"/>
      <c r="K703" s="5"/>
      <c r="L703" s="5"/>
      <c r="M703" s="5"/>
      <c r="T703" s="109"/>
      <c r="U703" s="7"/>
    </row>
    <row r="704" s="2" customFormat="true" ht="15" hidden="false" customHeight="false" outlineLevel="0" collapsed="false">
      <c r="I704" s="209"/>
      <c r="J704" s="210"/>
      <c r="K704" s="209"/>
      <c r="L704" s="209"/>
      <c r="M704" s="5"/>
      <c r="T704" s="109"/>
      <c r="U704" s="7"/>
    </row>
    <row r="705" s="2" customFormat="true" ht="15" hidden="false" customHeight="false" outlineLevel="0" collapsed="false">
      <c r="I705" s="5"/>
      <c r="J705" s="211"/>
      <c r="K705" s="5"/>
      <c r="L705" s="5"/>
      <c r="M705" s="5"/>
      <c r="T705" s="109"/>
      <c r="U705" s="7"/>
    </row>
    <row r="706" s="2" customFormat="true" ht="15" hidden="false" customHeight="false" outlineLevel="0" collapsed="false">
      <c r="I706" s="209"/>
      <c r="J706" s="210"/>
      <c r="K706" s="209"/>
      <c r="L706" s="209"/>
      <c r="M706" s="5"/>
      <c r="T706" s="109"/>
      <c r="U706" s="7"/>
    </row>
    <row r="707" s="2" customFormat="true" ht="15" hidden="false" customHeight="false" outlineLevel="0" collapsed="false">
      <c r="I707" s="5"/>
      <c r="J707" s="211"/>
      <c r="K707" s="5"/>
      <c r="L707" s="5"/>
      <c r="M707" s="5"/>
      <c r="T707" s="109"/>
      <c r="U707" s="7"/>
    </row>
    <row r="708" s="2" customFormat="true" ht="15" hidden="false" customHeight="false" outlineLevel="0" collapsed="false">
      <c r="I708" s="209"/>
      <c r="J708" s="210"/>
      <c r="K708" s="209"/>
      <c r="L708" s="209"/>
      <c r="M708" s="5"/>
      <c r="T708" s="109"/>
      <c r="U708" s="7"/>
    </row>
    <row r="709" s="2" customFormat="true" ht="15" hidden="false" customHeight="false" outlineLevel="0" collapsed="false">
      <c r="I709" s="5"/>
      <c r="J709" s="211"/>
      <c r="K709" s="5"/>
      <c r="L709" s="5"/>
      <c r="M709" s="5"/>
      <c r="T709" s="109"/>
      <c r="U709" s="7"/>
    </row>
    <row r="710" s="2" customFormat="true" ht="15" hidden="false" customHeight="false" outlineLevel="0" collapsed="false">
      <c r="I710" s="209"/>
      <c r="J710" s="210"/>
      <c r="K710" s="209"/>
      <c r="L710" s="209"/>
      <c r="M710" s="5"/>
      <c r="T710" s="109"/>
      <c r="U710" s="7"/>
    </row>
    <row r="711" s="2" customFormat="true" ht="15" hidden="false" customHeight="false" outlineLevel="0" collapsed="false">
      <c r="I711" s="5"/>
      <c r="J711" s="211"/>
      <c r="K711" s="5"/>
      <c r="L711" s="5"/>
      <c r="M711" s="5"/>
      <c r="T711" s="109"/>
      <c r="U711" s="7"/>
    </row>
    <row r="712" s="2" customFormat="true" ht="15" hidden="false" customHeight="false" outlineLevel="0" collapsed="false">
      <c r="I712" s="209"/>
      <c r="J712" s="210"/>
      <c r="K712" s="209"/>
      <c r="L712" s="209"/>
      <c r="M712" s="5"/>
      <c r="T712" s="109"/>
      <c r="U712" s="7"/>
    </row>
    <row r="713" s="2" customFormat="true" ht="15" hidden="false" customHeight="false" outlineLevel="0" collapsed="false">
      <c r="I713" s="5"/>
      <c r="J713" s="211"/>
      <c r="K713" s="5"/>
      <c r="L713" s="5"/>
      <c r="M713" s="5"/>
      <c r="T713" s="109"/>
      <c r="U713" s="7"/>
    </row>
    <row r="714" s="2" customFormat="true" ht="15" hidden="false" customHeight="false" outlineLevel="0" collapsed="false">
      <c r="I714" s="209"/>
      <c r="J714" s="210"/>
      <c r="K714" s="209"/>
      <c r="L714" s="209"/>
      <c r="M714" s="5"/>
      <c r="T714" s="109"/>
      <c r="U714" s="7"/>
    </row>
    <row r="715" s="2" customFormat="true" ht="15" hidden="false" customHeight="false" outlineLevel="0" collapsed="false">
      <c r="I715" s="5"/>
      <c r="J715" s="211"/>
      <c r="K715" s="5"/>
      <c r="L715" s="5"/>
      <c r="M715" s="5"/>
      <c r="T715" s="109"/>
      <c r="U715" s="7"/>
    </row>
    <row r="716" s="2" customFormat="true" ht="15" hidden="false" customHeight="false" outlineLevel="0" collapsed="false">
      <c r="I716" s="209"/>
      <c r="J716" s="210"/>
      <c r="K716" s="209"/>
      <c r="L716" s="209"/>
      <c r="M716" s="5"/>
      <c r="T716" s="109"/>
      <c r="U716" s="7"/>
    </row>
    <row r="717" s="2" customFormat="true" ht="15" hidden="false" customHeight="false" outlineLevel="0" collapsed="false">
      <c r="I717" s="5"/>
      <c r="J717" s="211"/>
      <c r="K717" s="5"/>
      <c r="L717" s="5"/>
      <c r="M717" s="5"/>
      <c r="T717" s="109"/>
      <c r="U717" s="7"/>
    </row>
    <row r="718" s="2" customFormat="true" ht="15" hidden="false" customHeight="false" outlineLevel="0" collapsed="false">
      <c r="I718" s="209"/>
      <c r="J718" s="210"/>
      <c r="K718" s="209"/>
      <c r="L718" s="209"/>
      <c r="M718" s="5"/>
      <c r="T718" s="109"/>
      <c r="U718" s="7"/>
    </row>
    <row r="719" s="2" customFormat="true" ht="15" hidden="false" customHeight="false" outlineLevel="0" collapsed="false">
      <c r="I719" s="5"/>
      <c r="J719" s="211"/>
      <c r="K719" s="5"/>
      <c r="L719" s="5"/>
      <c r="M719" s="5"/>
      <c r="T719" s="109"/>
      <c r="U719" s="7"/>
    </row>
    <row r="720" s="2" customFormat="true" ht="15" hidden="false" customHeight="false" outlineLevel="0" collapsed="false">
      <c r="I720" s="209"/>
      <c r="J720" s="210"/>
      <c r="K720" s="209"/>
      <c r="L720" s="209"/>
      <c r="M720" s="5"/>
      <c r="T720" s="109"/>
      <c r="U720" s="7"/>
    </row>
    <row r="721" s="2" customFormat="true" ht="15" hidden="false" customHeight="false" outlineLevel="0" collapsed="false">
      <c r="I721" s="5"/>
      <c r="J721" s="211"/>
      <c r="K721" s="5"/>
      <c r="L721" s="5"/>
      <c r="M721" s="5"/>
      <c r="T721" s="109"/>
      <c r="U721" s="7"/>
    </row>
    <row r="722" s="2" customFormat="true" ht="15" hidden="false" customHeight="false" outlineLevel="0" collapsed="false">
      <c r="I722" s="209"/>
      <c r="J722" s="210"/>
      <c r="K722" s="209"/>
      <c r="L722" s="209"/>
      <c r="M722" s="5"/>
      <c r="T722" s="109"/>
      <c r="U722" s="7"/>
    </row>
    <row r="723" s="2" customFormat="true" ht="15" hidden="false" customHeight="false" outlineLevel="0" collapsed="false">
      <c r="I723" s="5"/>
      <c r="J723" s="211"/>
      <c r="K723" s="5"/>
      <c r="L723" s="5"/>
      <c r="M723" s="5"/>
      <c r="T723" s="109"/>
      <c r="U723" s="7"/>
    </row>
    <row r="724" s="2" customFormat="true" ht="15" hidden="false" customHeight="false" outlineLevel="0" collapsed="false">
      <c r="I724" s="209"/>
      <c r="J724" s="210"/>
      <c r="K724" s="209"/>
      <c r="L724" s="209"/>
      <c r="M724" s="5"/>
      <c r="T724" s="109"/>
      <c r="U724" s="7"/>
    </row>
    <row r="725" s="2" customFormat="true" ht="15" hidden="false" customHeight="false" outlineLevel="0" collapsed="false">
      <c r="I725" s="5"/>
      <c r="J725" s="211"/>
      <c r="K725" s="5"/>
      <c r="L725" s="5"/>
      <c r="M725" s="5"/>
      <c r="T725" s="109"/>
      <c r="U725" s="7"/>
    </row>
    <row r="726" s="2" customFormat="true" ht="15" hidden="false" customHeight="false" outlineLevel="0" collapsed="false">
      <c r="I726" s="209"/>
      <c r="J726" s="210"/>
      <c r="K726" s="209"/>
      <c r="L726" s="209"/>
      <c r="M726" s="5"/>
      <c r="T726" s="109"/>
      <c r="U726" s="7"/>
    </row>
    <row r="727" s="2" customFormat="true" ht="15" hidden="false" customHeight="false" outlineLevel="0" collapsed="false">
      <c r="I727" s="5"/>
      <c r="J727" s="211"/>
      <c r="K727" s="5"/>
      <c r="L727" s="5"/>
      <c r="M727" s="5"/>
      <c r="T727" s="109"/>
      <c r="U727" s="7"/>
    </row>
    <row r="728" s="2" customFormat="true" ht="15" hidden="false" customHeight="false" outlineLevel="0" collapsed="false">
      <c r="I728" s="209"/>
      <c r="J728" s="210"/>
      <c r="K728" s="209"/>
      <c r="L728" s="209"/>
      <c r="M728" s="5"/>
      <c r="T728" s="109"/>
      <c r="U728" s="7"/>
    </row>
    <row r="729" s="2" customFormat="true" ht="15" hidden="false" customHeight="false" outlineLevel="0" collapsed="false">
      <c r="I729" s="5"/>
      <c r="J729" s="211"/>
      <c r="K729" s="5"/>
      <c r="L729" s="5"/>
      <c r="M729" s="5"/>
      <c r="T729" s="109"/>
      <c r="U729" s="7"/>
    </row>
    <row r="730" s="2" customFormat="true" ht="15" hidden="false" customHeight="false" outlineLevel="0" collapsed="false">
      <c r="I730" s="209"/>
      <c r="J730" s="210"/>
      <c r="K730" s="209"/>
      <c r="L730" s="209"/>
      <c r="M730" s="5"/>
      <c r="T730" s="109"/>
      <c r="U730" s="7"/>
    </row>
    <row r="731" s="2" customFormat="true" ht="15" hidden="false" customHeight="false" outlineLevel="0" collapsed="false">
      <c r="I731" s="5"/>
      <c r="J731" s="211"/>
      <c r="K731" s="5"/>
      <c r="L731" s="5"/>
      <c r="M731" s="5"/>
      <c r="T731" s="109"/>
      <c r="U731" s="7"/>
    </row>
    <row r="732" s="2" customFormat="true" ht="15" hidden="false" customHeight="false" outlineLevel="0" collapsed="false">
      <c r="I732" s="209"/>
      <c r="J732" s="210"/>
      <c r="K732" s="209"/>
      <c r="L732" s="209"/>
      <c r="M732" s="5"/>
      <c r="T732" s="109"/>
      <c r="U732" s="7"/>
    </row>
    <row r="733" s="2" customFormat="true" ht="15" hidden="false" customHeight="false" outlineLevel="0" collapsed="false">
      <c r="I733" s="5"/>
      <c r="J733" s="211"/>
      <c r="K733" s="5"/>
      <c r="L733" s="5"/>
      <c r="M733" s="5"/>
      <c r="T733" s="109"/>
      <c r="U733" s="7"/>
    </row>
    <row r="734" s="2" customFormat="true" ht="15" hidden="false" customHeight="false" outlineLevel="0" collapsed="false">
      <c r="I734" s="209"/>
      <c r="J734" s="210"/>
      <c r="K734" s="209"/>
      <c r="L734" s="209"/>
      <c r="M734" s="5"/>
      <c r="T734" s="109"/>
      <c r="U734" s="7"/>
    </row>
    <row r="735" s="2" customFormat="true" ht="15" hidden="false" customHeight="false" outlineLevel="0" collapsed="false">
      <c r="I735" s="5"/>
      <c r="J735" s="211"/>
      <c r="K735" s="5"/>
      <c r="L735" s="5"/>
      <c r="M735" s="5"/>
      <c r="T735" s="109"/>
      <c r="U735" s="7"/>
    </row>
    <row r="736" s="2" customFormat="true" ht="15" hidden="false" customHeight="false" outlineLevel="0" collapsed="false">
      <c r="I736" s="209"/>
      <c r="J736" s="210"/>
      <c r="K736" s="209"/>
      <c r="L736" s="209"/>
      <c r="M736" s="5"/>
      <c r="T736" s="109"/>
      <c r="U736" s="7"/>
    </row>
    <row r="737" s="2" customFormat="true" ht="15" hidden="false" customHeight="false" outlineLevel="0" collapsed="false">
      <c r="I737" s="5"/>
      <c r="J737" s="211"/>
      <c r="K737" s="5"/>
      <c r="L737" s="5"/>
      <c r="M737" s="5"/>
      <c r="T737" s="109"/>
      <c r="U737" s="7"/>
    </row>
    <row r="738" s="2" customFormat="true" ht="15" hidden="false" customHeight="false" outlineLevel="0" collapsed="false">
      <c r="I738" s="209"/>
      <c r="J738" s="210"/>
      <c r="K738" s="209"/>
      <c r="L738" s="209"/>
      <c r="M738" s="5"/>
      <c r="T738" s="109"/>
      <c r="U738" s="7"/>
    </row>
    <row r="739" s="2" customFormat="true" ht="15" hidden="false" customHeight="false" outlineLevel="0" collapsed="false">
      <c r="I739" s="5"/>
      <c r="J739" s="211"/>
      <c r="K739" s="5"/>
      <c r="L739" s="5"/>
      <c r="M739" s="5"/>
      <c r="T739" s="109"/>
      <c r="U739" s="7"/>
    </row>
    <row r="740" s="2" customFormat="true" ht="15" hidden="false" customHeight="false" outlineLevel="0" collapsed="false">
      <c r="I740" s="209"/>
      <c r="J740" s="210"/>
      <c r="K740" s="209"/>
      <c r="L740" s="209"/>
      <c r="M740" s="5"/>
      <c r="T740" s="109"/>
      <c r="U740" s="7"/>
    </row>
    <row r="741" s="2" customFormat="true" ht="15" hidden="false" customHeight="false" outlineLevel="0" collapsed="false">
      <c r="I741" s="5"/>
      <c r="J741" s="211"/>
      <c r="K741" s="5"/>
      <c r="L741" s="5"/>
      <c r="M741" s="5"/>
      <c r="T741" s="109"/>
      <c r="U741" s="7"/>
    </row>
    <row r="742" s="2" customFormat="true" ht="15" hidden="false" customHeight="false" outlineLevel="0" collapsed="false">
      <c r="I742" s="209"/>
      <c r="J742" s="210"/>
      <c r="K742" s="209"/>
      <c r="L742" s="209"/>
      <c r="M742" s="5"/>
      <c r="T742" s="109"/>
      <c r="U742" s="7"/>
    </row>
    <row r="743" s="2" customFormat="true" ht="15" hidden="false" customHeight="false" outlineLevel="0" collapsed="false">
      <c r="I743" s="5"/>
      <c r="J743" s="211"/>
      <c r="K743" s="5"/>
      <c r="L743" s="5"/>
      <c r="M743" s="5"/>
      <c r="T743" s="109"/>
      <c r="U743" s="7"/>
    </row>
    <row r="744" s="2" customFormat="true" ht="15" hidden="false" customHeight="false" outlineLevel="0" collapsed="false">
      <c r="I744" s="209"/>
      <c r="J744" s="210"/>
      <c r="K744" s="209"/>
      <c r="L744" s="209"/>
      <c r="M744" s="5"/>
      <c r="T744" s="109"/>
      <c r="U744" s="7"/>
    </row>
    <row r="745" s="2" customFormat="true" ht="15" hidden="false" customHeight="false" outlineLevel="0" collapsed="false">
      <c r="I745" s="5"/>
      <c r="J745" s="211"/>
      <c r="K745" s="5"/>
      <c r="L745" s="5"/>
      <c r="M745" s="5"/>
      <c r="T745" s="109"/>
      <c r="U745" s="7"/>
    </row>
    <row r="746" s="2" customFormat="true" ht="15" hidden="false" customHeight="false" outlineLevel="0" collapsed="false">
      <c r="I746" s="209"/>
      <c r="J746" s="210"/>
      <c r="K746" s="209"/>
      <c r="L746" s="209"/>
      <c r="M746" s="5"/>
      <c r="T746" s="109"/>
      <c r="U746" s="7"/>
    </row>
    <row r="747" s="2" customFormat="true" ht="15" hidden="false" customHeight="false" outlineLevel="0" collapsed="false">
      <c r="I747" s="5"/>
      <c r="J747" s="211"/>
      <c r="K747" s="5"/>
      <c r="L747" s="5"/>
      <c r="M747" s="5"/>
      <c r="T747" s="109"/>
      <c r="U747" s="7"/>
    </row>
    <row r="748" s="2" customFormat="true" ht="15" hidden="false" customHeight="false" outlineLevel="0" collapsed="false">
      <c r="I748" s="209"/>
      <c r="J748" s="210"/>
      <c r="K748" s="209"/>
      <c r="L748" s="209"/>
      <c r="M748" s="5"/>
      <c r="T748" s="109"/>
      <c r="U748" s="7"/>
    </row>
    <row r="749" s="2" customFormat="true" ht="15" hidden="false" customHeight="false" outlineLevel="0" collapsed="false">
      <c r="I749" s="5"/>
      <c r="J749" s="211"/>
      <c r="K749" s="5"/>
      <c r="L749" s="5"/>
      <c r="M749" s="5"/>
      <c r="T749" s="109"/>
      <c r="U749" s="7"/>
    </row>
    <row r="750" s="2" customFormat="true" ht="15" hidden="false" customHeight="false" outlineLevel="0" collapsed="false">
      <c r="I750" s="209"/>
      <c r="J750" s="210"/>
      <c r="K750" s="209"/>
      <c r="L750" s="209"/>
      <c r="M750" s="5"/>
      <c r="T750" s="109"/>
      <c r="U750" s="7"/>
    </row>
    <row r="751" s="2" customFormat="true" ht="15" hidden="false" customHeight="false" outlineLevel="0" collapsed="false">
      <c r="I751" s="5"/>
      <c r="J751" s="211"/>
      <c r="K751" s="5"/>
      <c r="L751" s="5"/>
      <c r="M751" s="5"/>
      <c r="T751" s="109"/>
      <c r="U751" s="7"/>
    </row>
    <row r="752" s="2" customFormat="true" ht="15" hidden="false" customHeight="false" outlineLevel="0" collapsed="false">
      <c r="I752" s="209"/>
      <c r="J752" s="210"/>
      <c r="K752" s="209"/>
      <c r="L752" s="209"/>
      <c r="M752" s="5"/>
      <c r="T752" s="109"/>
      <c r="U752" s="7"/>
    </row>
    <row r="753" s="2" customFormat="true" ht="15" hidden="false" customHeight="false" outlineLevel="0" collapsed="false">
      <c r="I753" s="5"/>
      <c r="J753" s="211"/>
      <c r="K753" s="5"/>
      <c r="L753" s="5"/>
      <c r="M753" s="5"/>
      <c r="T753" s="109"/>
      <c r="U753" s="7"/>
    </row>
    <row r="754" s="2" customFormat="true" ht="15" hidden="false" customHeight="false" outlineLevel="0" collapsed="false">
      <c r="I754" s="209"/>
      <c r="J754" s="210"/>
      <c r="K754" s="209"/>
      <c r="L754" s="209"/>
      <c r="M754" s="5"/>
      <c r="T754" s="109"/>
      <c r="U754" s="7"/>
    </row>
    <row r="755" s="2" customFormat="true" ht="15" hidden="false" customHeight="false" outlineLevel="0" collapsed="false">
      <c r="I755" s="5"/>
      <c r="J755" s="211"/>
      <c r="K755" s="5"/>
      <c r="L755" s="5"/>
      <c r="M755" s="5"/>
      <c r="T755" s="109"/>
      <c r="U755" s="7"/>
    </row>
    <row r="756" s="2" customFormat="true" ht="15" hidden="false" customHeight="false" outlineLevel="0" collapsed="false">
      <c r="I756" s="209"/>
      <c r="J756" s="210"/>
      <c r="K756" s="209"/>
      <c r="L756" s="209"/>
      <c r="M756" s="5"/>
      <c r="T756" s="109"/>
      <c r="U756" s="7"/>
    </row>
    <row r="757" s="2" customFormat="true" ht="15" hidden="false" customHeight="false" outlineLevel="0" collapsed="false">
      <c r="I757" s="5"/>
      <c r="J757" s="211"/>
      <c r="K757" s="5"/>
      <c r="L757" s="5"/>
      <c r="M757" s="5"/>
      <c r="T757" s="109"/>
      <c r="U757" s="7"/>
    </row>
    <row r="758" s="2" customFormat="true" ht="15" hidden="false" customHeight="false" outlineLevel="0" collapsed="false">
      <c r="I758" s="209"/>
      <c r="J758" s="210"/>
      <c r="K758" s="209"/>
      <c r="L758" s="209"/>
      <c r="M758" s="5"/>
      <c r="T758" s="109"/>
      <c r="U758" s="7"/>
    </row>
    <row r="759" s="2" customFormat="true" ht="15" hidden="false" customHeight="false" outlineLevel="0" collapsed="false">
      <c r="I759" s="5"/>
      <c r="J759" s="211"/>
      <c r="K759" s="5"/>
      <c r="L759" s="5"/>
      <c r="M759" s="5"/>
      <c r="T759" s="109"/>
      <c r="U759" s="7"/>
    </row>
    <row r="760" s="2" customFormat="true" ht="15" hidden="false" customHeight="false" outlineLevel="0" collapsed="false">
      <c r="I760" s="209"/>
      <c r="J760" s="210"/>
      <c r="K760" s="209"/>
      <c r="L760" s="209"/>
      <c r="M760" s="5"/>
      <c r="T760" s="109"/>
      <c r="U760" s="7"/>
    </row>
    <row r="761" s="2" customFormat="true" ht="15" hidden="false" customHeight="false" outlineLevel="0" collapsed="false">
      <c r="I761" s="5"/>
      <c r="J761" s="211"/>
      <c r="K761" s="5"/>
      <c r="L761" s="5"/>
      <c r="M761" s="5"/>
      <c r="T761" s="109"/>
      <c r="U761" s="7"/>
    </row>
    <row r="762" s="2" customFormat="true" ht="15" hidden="false" customHeight="false" outlineLevel="0" collapsed="false">
      <c r="I762" s="209"/>
      <c r="J762" s="210"/>
      <c r="K762" s="209"/>
      <c r="L762" s="209"/>
      <c r="M762" s="5"/>
      <c r="T762" s="109"/>
      <c r="U762" s="7"/>
    </row>
    <row r="763" s="2" customFormat="true" ht="15" hidden="false" customHeight="false" outlineLevel="0" collapsed="false">
      <c r="I763" s="5"/>
      <c r="J763" s="211"/>
      <c r="K763" s="5"/>
      <c r="L763" s="5"/>
      <c r="M763" s="5"/>
      <c r="T763" s="109"/>
      <c r="U763" s="7"/>
    </row>
    <row r="764" s="2" customFormat="true" ht="15" hidden="false" customHeight="false" outlineLevel="0" collapsed="false">
      <c r="I764" s="209"/>
      <c r="J764" s="210"/>
      <c r="K764" s="209"/>
      <c r="L764" s="209"/>
      <c r="M764" s="5"/>
      <c r="T764" s="109"/>
      <c r="U764" s="7"/>
    </row>
    <row r="765" s="2" customFormat="true" ht="15" hidden="false" customHeight="false" outlineLevel="0" collapsed="false">
      <c r="I765" s="5"/>
      <c r="J765" s="211"/>
      <c r="K765" s="5"/>
      <c r="L765" s="5"/>
      <c r="M765" s="5"/>
      <c r="T765" s="109"/>
      <c r="U765" s="7"/>
    </row>
    <row r="766" s="2" customFormat="true" ht="15" hidden="false" customHeight="false" outlineLevel="0" collapsed="false">
      <c r="I766" s="209"/>
      <c r="J766" s="210"/>
      <c r="K766" s="209"/>
      <c r="L766" s="209"/>
      <c r="M766" s="5"/>
      <c r="T766" s="109"/>
      <c r="U766" s="7"/>
    </row>
    <row r="767" s="2" customFormat="true" ht="15" hidden="false" customHeight="false" outlineLevel="0" collapsed="false">
      <c r="I767" s="5"/>
      <c r="J767" s="211"/>
      <c r="K767" s="5"/>
      <c r="L767" s="5"/>
      <c r="M767" s="5"/>
      <c r="T767" s="109"/>
      <c r="U767" s="7"/>
    </row>
    <row r="768" s="2" customFormat="true" ht="15" hidden="false" customHeight="false" outlineLevel="0" collapsed="false">
      <c r="I768" s="209"/>
      <c r="J768" s="210"/>
      <c r="K768" s="209"/>
      <c r="L768" s="209"/>
      <c r="M768" s="5"/>
      <c r="T768" s="109"/>
      <c r="U768" s="7"/>
    </row>
    <row r="769" s="2" customFormat="true" ht="15" hidden="false" customHeight="false" outlineLevel="0" collapsed="false">
      <c r="I769" s="5"/>
      <c r="J769" s="211"/>
      <c r="K769" s="5"/>
      <c r="L769" s="5"/>
      <c r="M769" s="5"/>
      <c r="T769" s="109"/>
      <c r="U769" s="7"/>
    </row>
    <row r="770" s="2" customFormat="true" ht="15" hidden="false" customHeight="false" outlineLevel="0" collapsed="false">
      <c r="I770" s="209"/>
      <c r="J770" s="210"/>
      <c r="K770" s="209"/>
      <c r="L770" s="209"/>
      <c r="M770" s="5"/>
      <c r="T770" s="109"/>
      <c r="U770" s="7"/>
    </row>
    <row r="771" s="2" customFormat="true" ht="15" hidden="false" customHeight="false" outlineLevel="0" collapsed="false">
      <c r="I771" s="5"/>
      <c r="J771" s="211"/>
      <c r="K771" s="5"/>
      <c r="L771" s="5"/>
      <c r="M771" s="5"/>
      <c r="T771" s="109"/>
      <c r="U771" s="7"/>
    </row>
    <row r="772" s="2" customFormat="true" ht="15" hidden="false" customHeight="false" outlineLevel="0" collapsed="false">
      <c r="I772" s="209"/>
      <c r="J772" s="210"/>
      <c r="K772" s="209"/>
      <c r="L772" s="209"/>
      <c r="M772" s="5"/>
      <c r="T772" s="109"/>
      <c r="U772" s="7"/>
    </row>
    <row r="773" s="2" customFormat="true" ht="15" hidden="false" customHeight="false" outlineLevel="0" collapsed="false">
      <c r="I773" s="5"/>
      <c r="J773" s="211"/>
      <c r="K773" s="5"/>
      <c r="L773" s="5"/>
      <c r="M773" s="5"/>
      <c r="T773" s="109"/>
      <c r="U773" s="7"/>
    </row>
    <row r="774" s="2" customFormat="true" ht="15" hidden="false" customHeight="false" outlineLevel="0" collapsed="false">
      <c r="I774" s="209"/>
      <c r="J774" s="210"/>
      <c r="K774" s="209"/>
      <c r="L774" s="209"/>
      <c r="M774" s="5"/>
      <c r="T774" s="109"/>
      <c r="U774" s="7"/>
    </row>
    <row r="775" s="2" customFormat="true" ht="15" hidden="false" customHeight="false" outlineLevel="0" collapsed="false">
      <c r="I775" s="5"/>
      <c r="J775" s="211"/>
      <c r="K775" s="5"/>
      <c r="L775" s="5"/>
      <c r="M775" s="5"/>
      <c r="T775" s="109"/>
      <c r="U775" s="7"/>
    </row>
    <row r="776" s="2" customFormat="true" ht="15" hidden="false" customHeight="false" outlineLevel="0" collapsed="false">
      <c r="I776" s="209"/>
      <c r="J776" s="210"/>
      <c r="K776" s="209"/>
      <c r="L776" s="209"/>
      <c r="M776" s="5"/>
      <c r="T776" s="109"/>
      <c r="U776" s="7"/>
    </row>
    <row r="777" s="2" customFormat="true" ht="15" hidden="false" customHeight="false" outlineLevel="0" collapsed="false">
      <c r="I777" s="5"/>
      <c r="J777" s="211"/>
      <c r="K777" s="5"/>
      <c r="L777" s="5"/>
      <c r="M777" s="5"/>
      <c r="T777" s="109"/>
      <c r="U777" s="7"/>
    </row>
    <row r="778" s="2" customFormat="true" ht="15" hidden="false" customHeight="false" outlineLevel="0" collapsed="false">
      <c r="I778" s="209"/>
      <c r="J778" s="210"/>
      <c r="K778" s="209"/>
      <c r="L778" s="209"/>
      <c r="M778" s="5"/>
      <c r="T778" s="109"/>
      <c r="U778" s="7"/>
    </row>
    <row r="779" s="2" customFormat="true" ht="15" hidden="false" customHeight="false" outlineLevel="0" collapsed="false">
      <c r="I779" s="5"/>
      <c r="J779" s="211"/>
      <c r="K779" s="5"/>
      <c r="L779" s="5"/>
      <c r="M779" s="5"/>
      <c r="T779" s="109"/>
      <c r="U779" s="7"/>
    </row>
    <row r="780" s="2" customFormat="true" ht="15" hidden="false" customHeight="false" outlineLevel="0" collapsed="false">
      <c r="I780" s="209"/>
      <c r="J780" s="210"/>
      <c r="K780" s="209"/>
      <c r="L780" s="209"/>
      <c r="M780" s="5"/>
      <c r="T780" s="109"/>
      <c r="U780" s="7"/>
    </row>
    <row r="781" s="2" customFormat="true" ht="15" hidden="false" customHeight="false" outlineLevel="0" collapsed="false">
      <c r="I781" s="5"/>
      <c r="J781" s="211"/>
      <c r="K781" s="5"/>
      <c r="L781" s="5"/>
      <c r="M781" s="5"/>
      <c r="T781" s="109"/>
      <c r="U781" s="7"/>
    </row>
    <row r="782" s="2" customFormat="true" ht="15" hidden="false" customHeight="false" outlineLevel="0" collapsed="false">
      <c r="I782" s="209"/>
      <c r="J782" s="210"/>
      <c r="K782" s="209"/>
      <c r="L782" s="209"/>
      <c r="M782" s="5"/>
      <c r="T782" s="109"/>
      <c r="U782" s="7"/>
    </row>
    <row r="783" s="2" customFormat="true" ht="15" hidden="false" customHeight="false" outlineLevel="0" collapsed="false">
      <c r="I783" s="5"/>
      <c r="J783" s="211"/>
      <c r="K783" s="5"/>
      <c r="L783" s="5"/>
      <c r="M783" s="5"/>
      <c r="T783" s="109"/>
      <c r="U783" s="7"/>
    </row>
    <row r="784" s="2" customFormat="true" ht="15" hidden="false" customHeight="false" outlineLevel="0" collapsed="false">
      <c r="I784" s="209"/>
      <c r="J784" s="210"/>
      <c r="K784" s="209"/>
      <c r="L784" s="209"/>
      <c r="M784" s="5"/>
      <c r="T784" s="109"/>
      <c r="U784" s="7"/>
    </row>
    <row r="785" s="2" customFormat="true" ht="15" hidden="false" customHeight="false" outlineLevel="0" collapsed="false">
      <c r="I785" s="5"/>
      <c r="J785" s="211"/>
      <c r="K785" s="5"/>
      <c r="L785" s="5"/>
      <c r="M785" s="5"/>
      <c r="T785" s="109"/>
      <c r="U785" s="7"/>
    </row>
    <row r="786" s="2" customFormat="true" ht="15" hidden="false" customHeight="false" outlineLevel="0" collapsed="false">
      <c r="I786" s="209"/>
      <c r="J786" s="210"/>
      <c r="K786" s="209"/>
      <c r="L786" s="209"/>
      <c r="M786" s="5"/>
      <c r="T786" s="109"/>
      <c r="U786" s="7"/>
    </row>
    <row r="787" s="2" customFormat="true" ht="15" hidden="false" customHeight="false" outlineLevel="0" collapsed="false">
      <c r="I787" s="5"/>
      <c r="J787" s="211"/>
      <c r="K787" s="5"/>
      <c r="L787" s="5"/>
      <c r="M787" s="5"/>
      <c r="T787" s="109"/>
      <c r="U787" s="7"/>
    </row>
    <row r="788" s="2" customFormat="true" ht="15" hidden="false" customHeight="false" outlineLevel="0" collapsed="false">
      <c r="I788" s="209"/>
      <c r="J788" s="210"/>
      <c r="K788" s="209"/>
      <c r="L788" s="209"/>
      <c r="M788" s="5"/>
      <c r="T788" s="109"/>
      <c r="U788" s="7"/>
    </row>
    <row r="789" s="2" customFormat="true" ht="15" hidden="false" customHeight="false" outlineLevel="0" collapsed="false">
      <c r="I789" s="5"/>
      <c r="J789" s="211"/>
      <c r="K789" s="5"/>
      <c r="L789" s="5"/>
      <c r="M789" s="5"/>
      <c r="T789" s="109"/>
      <c r="U789" s="7"/>
    </row>
    <row r="790" s="2" customFormat="true" ht="15" hidden="false" customHeight="false" outlineLevel="0" collapsed="false">
      <c r="I790" s="209"/>
      <c r="J790" s="210"/>
      <c r="K790" s="209"/>
      <c r="L790" s="209"/>
      <c r="M790" s="5"/>
      <c r="T790" s="109"/>
      <c r="U790" s="7"/>
    </row>
    <row r="791" s="2" customFormat="true" ht="15" hidden="false" customHeight="false" outlineLevel="0" collapsed="false">
      <c r="I791" s="5"/>
      <c r="J791" s="211"/>
      <c r="K791" s="5"/>
      <c r="L791" s="5"/>
      <c r="M791" s="5"/>
      <c r="T791" s="109"/>
      <c r="U791" s="7"/>
    </row>
    <row r="792" s="2" customFormat="true" ht="15" hidden="false" customHeight="false" outlineLevel="0" collapsed="false">
      <c r="I792" s="209"/>
      <c r="J792" s="210"/>
      <c r="K792" s="209"/>
      <c r="L792" s="209"/>
      <c r="M792" s="5"/>
      <c r="T792" s="109"/>
      <c r="U792" s="7"/>
    </row>
    <row r="793" s="2" customFormat="true" ht="15" hidden="false" customHeight="false" outlineLevel="0" collapsed="false">
      <c r="I793" s="5"/>
      <c r="J793" s="211"/>
      <c r="K793" s="5"/>
      <c r="L793" s="5"/>
      <c r="M793" s="5"/>
      <c r="T793" s="109"/>
      <c r="U793" s="7"/>
    </row>
    <row r="794" s="2" customFormat="true" ht="15" hidden="false" customHeight="false" outlineLevel="0" collapsed="false">
      <c r="I794" s="209"/>
      <c r="J794" s="210"/>
      <c r="K794" s="209"/>
      <c r="L794" s="209"/>
      <c r="M794" s="5"/>
      <c r="T794" s="109"/>
      <c r="U794" s="7"/>
    </row>
    <row r="795" s="2" customFormat="true" ht="15" hidden="false" customHeight="false" outlineLevel="0" collapsed="false">
      <c r="I795" s="5"/>
      <c r="J795" s="211"/>
      <c r="K795" s="5"/>
      <c r="L795" s="5"/>
      <c r="M795" s="5"/>
      <c r="T795" s="109"/>
      <c r="U795" s="7"/>
    </row>
    <row r="796" s="2" customFormat="true" ht="15" hidden="false" customHeight="false" outlineLevel="0" collapsed="false">
      <c r="I796" s="209"/>
      <c r="J796" s="210"/>
      <c r="K796" s="209"/>
      <c r="L796" s="209"/>
      <c r="M796" s="5"/>
      <c r="T796" s="109"/>
      <c r="U796" s="7"/>
    </row>
    <row r="797" s="2" customFormat="true" ht="15" hidden="false" customHeight="false" outlineLevel="0" collapsed="false">
      <c r="I797" s="5"/>
      <c r="J797" s="211"/>
      <c r="K797" s="5"/>
      <c r="L797" s="5"/>
      <c r="M797" s="5"/>
      <c r="T797" s="109"/>
      <c r="U797" s="7"/>
    </row>
    <row r="798" s="2" customFormat="true" ht="15" hidden="false" customHeight="false" outlineLevel="0" collapsed="false">
      <c r="I798" s="209"/>
      <c r="J798" s="210"/>
      <c r="K798" s="209"/>
      <c r="L798" s="209"/>
      <c r="M798" s="5"/>
      <c r="T798" s="109"/>
      <c r="U798" s="7"/>
    </row>
    <row r="799" s="2" customFormat="true" ht="15" hidden="false" customHeight="false" outlineLevel="0" collapsed="false">
      <c r="I799" s="5"/>
      <c r="J799" s="211"/>
      <c r="K799" s="5"/>
      <c r="L799" s="5"/>
      <c r="M799" s="5"/>
      <c r="T799" s="109"/>
      <c r="U799" s="7"/>
    </row>
    <row r="800" s="2" customFormat="true" ht="15" hidden="false" customHeight="false" outlineLevel="0" collapsed="false">
      <c r="I800" s="209"/>
      <c r="J800" s="210"/>
      <c r="K800" s="209"/>
      <c r="L800" s="209"/>
      <c r="M800" s="5"/>
      <c r="T800" s="109"/>
      <c r="U800" s="7"/>
    </row>
    <row r="801" s="2" customFormat="true" ht="15" hidden="false" customHeight="false" outlineLevel="0" collapsed="false">
      <c r="I801" s="5"/>
      <c r="J801" s="211"/>
      <c r="K801" s="5"/>
      <c r="L801" s="5"/>
      <c r="M801" s="5"/>
      <c r="T801" s="109"/>
      <c r="U801" s="7"/>
    </row>
    <row r="802" s="2" customFormat="true" ht="15" hidden="false" customHeight="false" outlineLevel="0" collapsed="false">
      <c r="I802" s="209"/>
      <c r="J802" s="210"/>
      <c r="K802" s="209"/>
      <c r="L802" s="209"/>
      <c r="M802" s="5"/>
      <c r="T802" s="109"/>
      <c r="U802" s="7"/>
    </row>
    <row r="803" s="2" customFormat="true" ht="15" hidden="false" customHeight="false" outlineLevel="0" collapsed="false">
      <c r="I803" s="5"/>
      <c r="J803" s="211"/>
      <c r="K803" s="5"/>
      <c r="L803" s="5"/>
      <c r="M803" s="5"/>
      <c r="T803" s="109"/>
      <c r="U803" s="7"/>
    </row>
    <row r="804" s="2" customFormat="true" ht="15" hidden="false" customHeight="false" outlineLevel="0" collapsed="false">
      <c r="I804" s="209"/>
      <c r="J804" s="210"/>
      <c r="K804" s="209"/>
      <c r="L804" s="209"/>
      <c r="M804" s="5"/>
      <c r="T804" s="109"/>
      <c r="U804" s="7"/>
    </row>
    <row r="805" s="2" customFormat="true" ht="15" hidden="false" customHeight="false" outlineLevel="0" collapsed="false">
      <c r="I805" s="5"/>
      <c r="J805" s="211"/>
      <c r="K805" s="5"/>
      <c r="L805" s="5"/>
      <c r="M805" s="5"/>
      <c r="T805" s="109"/>
      <c r="U805" s="7"/>
    </row>
    <row r="806" s="2" customFormat="true" ht="15" hidden="false" customHeight="false" outlineLevel="0" collapsed="false">
      <c r="I806" s="209"/>
      <c r="J806" s="210"/>
      <c r="K806" s="209"/>
      <c r="L806" s="209"/>
      <c r="M806" s="5"/>
      <c r="T806" s="109"/>
      <c r="U806" s="7"/>
    </row>
    <row r="807" s="2" customFormat="true" ht="15" hidden="false" customHeight="false" outlineLevel="0" collapsed="false">
      <c r="I807" s="5"/>
      <c r="J807" s="211"/>
      <c r="K807" s="5"/>
      <c r="L807" s="5"/>
      <c r="M807" s="5"/>
      <c r="T807" s="109"/>
      <c r="U807" s="7"/>
    </row>
    <row r="808" s="2" customFormat="true" ht="15" hidden="false" customHeight="false" outlineLevel="0" collapsed="false">
      <c r="I808" s="209"/>
      <c r="J808" s="210"/>
      <c r="K808" s="209"/>
      <c r="L808" s="209"/>
      <c r="M808" s="5"/>
      <c r="T808" s="109"/>
      <c r="U808" s="7"/>
    </row>
    <row r="809" s="2" customFormat="true" ht="15" hidden="false" customHeight="false" outlineLevel="0" collapsed="false">
      <c r="I809" s="5"/>
      <c r="J809" s="211"/>
      <c r="K809" s="5"/>
      <c r="L809" s="5"/>
      <c r="M809" s="5"/>
      <c r="T809" s="109"/>
      <c r="U809" s="7"/>
    </row>
    <row r="810" s="2" customFormat="true" ht="15" hidden="false" customHeight="false" outlineLevel="0" collapsed="false">
      <c r="I810" s="209"/>
      <c r="J810" s="210"/>
      <c r="K810" s="209"/>
      <c r="L810" s="209"/>
      <c r="M810" s="5"/>
      <c r="T810" s="109"/>
      <c r="U810" s="7"/>
    </row>
    <row r="811" s="2" customFormat="true" ht="15" hidden="false" customHeight="false" outlineLevel="0" collapsed="false">
      <c r="I811" s="5"/>
      <c r="J811" s="211"/>
      <c r="K811" s="5"/>
      <c r="L811" s="5"/>
      <c r="M811" s="5"/>
      <c r="T811" s="109"/>
      <c r="U811" s="7"/>
    </row>
    <row r="812" s="2" customFormat="true" ht="15" hidden="false" customHeight="false" outlineLevel="0" collapsed="false">
      <c r="I812" s="209"/>
      <c r="J812" s="210"/>
      <c r="K812" s="209"/>
      <c r="L812" s="209"/>
      <c r="M812" s="5"/>
      <c r="T812" s="109"/>
      <c r="U812" s="7"/>
    </row>
    <row r="813" s="2" customFormat="true" ht="15" hidden="false" customHeight="false" outlineLevel="0" collapsed="false">
      <c r="I813" s="5"/>
      <c r="J813" s="211"/>
      <c r="K813" s="5"/>
      <c r="L813" s="5"/>
      <c r="M813" s="5"/>
      <c r="T813" s="109"/>
      <c r="U813" s="7"/>
    </row>
    <row r="814" s="2" customFormat="true" ht="15" hidden="false" customHeight="false" outlineLevel="0" collapsed="false">
      <c r="I814" s="209"/>
      <c r="J814" s="210"/>
      <c r="K814" s="209"/>
      <c r="L814" s="209"/>
      <c r="M814" s="5"/>
      <c r="T814" s="109"/>
      <c r="U814" s="7"/>
    </row>
    <row r="815" s="2" customFormat="true" ht="15" hidden="false" customHeight="false" outlineLevel="0" collapsed="false">
      <c r="I815" s="5"/>
      <c r="J815" s="211"/>
      <c r="K815" s="5"/>
      <c r="L815" s="5"/>
      <c r="M815" s="5"/>
      <c r="T815" s="109"/>
      <c r="U815" s="7"/>
    </row>
    <row r="816" s="2" customFormat="true" ht="15" hidden="false" customHeight="false" outlineLevel="0" collapsed="false">
      <c r="I816" s="209"/>
      <c r="J816" s="210"/>
      <c r="K816" s="209"/>
      <c r="L816" s="209"/>
      <c r="M816" s="5"/>
      <c r="T816" s="109"/>
      <c r="U816" s="7"/>
    </row>
    <row r="817" s="2" customFormat="true" ht="15" hidden="false" customHeight="false" outlineLevel="0" collapsed="false">
      <c r="I817" s="5"/>
      <c r="J817" s="211"/>
      <c r="K817" s="5"/>
      <c r="L817" s="5"/>
      <c r="M817" s="5"/>
      <c r="T817" s="109"/>
      <c r="U817" s="7"/>
    </row>
    <row r="818" s="2" customFormat="true" ht="15" hidden="false" customHeight="false" outlineLevel="0" collapsed="false">
      <c r="I818" s="209"/>
      <c r="J818" s="210"/>
      <c r="K818" s="209"/>
      <c r="L818" s="209"/>
      <c r="M818" s="5"/>
      <c r="T818" s="109"/>
      <c r="U818" s="7"/>
    </row>
    <row r="819" s="2" customFormat="true" ht="15" hidden="false" customHeight="false" outlineLevel="0" collapsed="false">
      <c r="I819" s="5"/>
      <c r="J819" s="211"/>
      <c r="K819" s="5"/>
      <c r="L819" s="5"/>
      <c r="M819" s="5"/>
      <c r="T819" s="109"/>
      <c r="U819" s="7"/>
    </row>
    <row r="820" s="2" customFormat="true" ht="15" hidden="false" customHeight="false" outlineLevel="0" collapsed="false">
      <c r="I820" s="209"/>
      <c r="J820" s="210"/>
      <c r="K820" s="209"/>
      <c r="L820" s="209"/>
      <c r="M820" s="5"/>
      <c r="T820" s="109"/>
      <c r="U820" s="7"/>
    </row>
    <row r="821" s="2" customFormat="true" ht="15" hidden="false" customHeight="false" outlineLevel="0" collapsed="false">
      <c r="I821" s="5"/>
      <c r="J821" s="211"/>
      <c r="K821" s="5"/>
      <c r="L821" s="5"/>
      <c r="M821" s="5"/>
      <c r="T821" s="109"/>
      <c r="U821" s="7"/>
    </row>
    <row r="822" s="2" customFormat="true" ht="15" hidden="false" customHeight="false" outlineLevel="0" collapsed="false">
      <c r="I822" s="209"/>
      <c r="J822" s="210"/>
      <c r="K822" s="209"/>
      <c r="L822" s="209"/>
      <c r="M822" s="5"/>
      <c r="T822" s="109"/>
      <c r="U822" s="7"/>
    </row>
    <row r="823" s="2" customFormat="true" ht="15" hidden="false" customHeight="false" outlineLevel="0" collapsed="false">
      <c r="I823" s="5"/>
      <c r="J823" s="211"/>
      <c r="K823" s="5"/>
      <c r="L823" s="5"/>
      <c r="M823" s="5"/>
      <c r="T823" s="109"/>
      <c r="U823" s="7"/>
    </row>
    <row r="824" s="2" customFormat="true" ht="15" hidden="false" customHeight="false" outlineLevel="0" collapsed="false">
      <c r="I824" s="209"/>
      <c r="J824" s="210"/>
      <c r="K824" s="209"/>
      <c r="L824" s="209"/>
      <c r="M824" s="5"/>
      <c r="T824" s="109"/>
      <c r="U824" s="7"/>
    </row>
    <row r="825" s="2" customFormat="true" ht="15" hidden="false" customHeight="false" outlineLevel="0" collapsed="false">
      <c r="I825" s="5"/>
      <c r="J825" s="211"/>
      <c r="K825" s="5"/>
      <c r="L825" s="5"/>
      <c r="M825" s="5"/>
      <c r="T825" s="109"/>
      <c r="U825" s="7"/>
    </row>
    <row r="826" s="2" customFormat="true" ht="15" hidden="false" customHeight="false" outlineLevel="0" collapsed="false">
      <c r="I826" s="209"/>
      <c r="J826" s="210"/>
      <c r="K826" s="209"/>
      <c r="L826" s="209"/>
      <c r="M826" s="5"/>
      <c r="T826" s="109"/>
      <c r="U826" s="7"/>
    </row>
    <row r="827" s="2" customFormat="true" ht="15" hidden="false" customHeight="false" outlineLevel="0" collapsed="false">
      <c r="I827" s="5"/>
      <c r="J827" s="211"/>
      <c r="K827" s="5"/>
      <c r="L827" s="5"/>
      <c r="M827" s="5"/>
      <c r="T827" s="109"/>
      <c r="U827" s="7"/>
    </row>
    <row r="828" s="2" customFormat="true" ht="15" hidden="false" customHeight="false" outlineLevel="0" collapsed="false">
      <c r="I828" s="209"/>
      <c r="J828" s="210"/>
      <c r="K828" s="209"/>
      <c r="L828" s="209"/>
      <c r="M828" s="5"/>
      <c r="T828" s="109"/>
      <c r="U828" s="7"/>
    </row>
    <row r="829" s="2" customFormat="true" ht="15" hidden="false" customHeight="false" outlineLevel="0" collapsed="false">
      <c r="I829" s="5"/>
      <c r="J829" s="211"/>
      <c r="K829" s="5"/>
      <c r="L829" s="5"/>
      <c r="M829" s="5"/>
      <c r="T829" s="109"/>
      <c r="U829" s="7"/>
    </row>
    <row r="830" s="2" customFormat="true" ht="15" hidden="false" customHeight="false" outlineLevel="0" collapsed="false">
      <c r="I830" s="209"/>
      <c r="J830" s="210"/>
      <c r="K830" s="209"/>
      <c r="L830" s="209"/>
      <c r="M830" s="5"/>
      <c r="T830" s="109"/>
      <c r="U830" s="7"/>
    </row>
    <row r="831" s="2" customFormat="true" ht="15" hidden="false" customHeight="false" outlineLevel="0" collapsed="false">
      <c r="I831" s="5"/>
      <c r="J831" s="211"/>
      <c r="K831" s="5"/>
      <c r="L831" s="5"/>
      <c r="M831" s="5"/>
      <c r="T831" s="109"/>
      <c r="U831" s="7"/>
    </row>
    <row r="832" s="2" customFormat="true" ht="15" hidden="false" customHeight="false" outlineLevel="0" collapsed="false">
      <c r="I832" s="209"/>
      <c r="J832" s="210"/>
      <c r="K832" s="209"/>
      <c r="L832" s="209"/>
      <c r="M832" s="5"/>
      <c r="T832" s="109"/>
      <c r="U832" s="7"/>
    </row>
    <row r="833" s="2" customFormat="true" ht="15" hidden="false" customHeight="false" outlineLevel="0" collapsed="false">
      <c r="I833" s="5"/>
      <c r="J833" s="211"/>
      <c r="K833" s="5"/>
      <c r="L833" s="5"/>
      <c r="M833" s="5"/>
      <c r="T833" s="109"/>
      <c r="U833" s="7"/>
    </row>
    <row r="834" s="2" customFormat="true" ht="15" hidden="false" customHeight="false" outlineLevel="0" collapsed="false">
      <c r="I834" s="209"/>
      <c r="J834" s="210"/>
      <c r="K834" s="209"/>
      <c r="L834" s="209"/>
      <c r="M834" s="5"/>
      <c r="T834" s="109"/>
      <c r="U834" s="7"/>
    </row>
    <row r="835" s="2" customFormat="true" ht="15" hidden="false" customHeight="false" outlineLevel="0" collapsed="false">
      <c r="I835" s="5"/>
      <c r="J835" s="211"/>
      <c r="K835" s="5"/>
      <c r="L835" s="5"/>
      <c r="M835" s="5"/>
      <c r="T835" s="109"/>
      <c r="U835" s="7"/>
    </row>
    <row r="836" s="2" customFormat="true" ht="15" hidden="false" customHeight="false" outlineLevel="0" collapsed="false">
      <c r="I836" s="209"/>
      <c r="J836" s="210"/>
      <c r="K836" s="209"/>
      <c r="L836" s="209"/>
      <c r="M836" s="5"/>
      <c r="T836" s="109"/>
      <c r="U836" s="7"/>
    </row>
    <row r="837" s="2" customFormat="true" ht="15" hidden="false" customHeight="false" outlineLevel="0" collapsed="false">
      <c r="I837" s="5"/>
      <c r="J837" s="211"/>
      <c r="K837" s="5"/>
      <c r="L837" s="5"/>
      <c r="M837" s="5"/>
      <c r="T837" s="109"/>
      <c r="U837" s="7"/>
    </row>
    <row r="838" s="2" customFormat="true" ht="15" hidden="false" customHeight="false" outlineLevel="0" collapsed="false">
      <c r="I838" s="209"/>
      <c r="J838" s="210"/>
      <c r="K838" s="209"/>
      <c r="L838" s="209"/>
      <c r="M838" s="5"/>
      <c r="T838" s="109"/>
      <c r="U838" s="7"/>
    </row>
    <row r="839" s="2" customFormat="true" ht="15" hidden="false" customHeight="false" outlineLevel="0" collapsed="false">
      <c r="I839" s="5"/>
      <c r="J839" s="211"/>
      <c r="K839" s="5"/>
      <c r="L839" s="5"/>
      <c r="M839" s="5"/>
      <c r="T839" s="109"/>
      <c r="U839" s="7"/>
    </row>
    <row r="840" s="2" customFormat="true" ht="15" hidden="false" customHeight="false" outlineLevel="0" collapsed="false">
      <c r="I840" s="209"/>
      <c r="J840" s="210"/>
      <c r="K840" s="209"/>
      <c r="L840" s="209"/>
      <c r="M840" s="5"/>
      <c r="T840" s="109"/>
      <c r="U840" s="7"/>
    </row>
    <row r="841" s="2" customFormat="true" ht="15" hidden="false" customHeight="false" outlineLevel="0" collapsed="false">
      <c r="I841" s="5"/>
      <c r="J841" s="211"/>
      <c r="K841" s="5"/>
      <c r="L841" s="5"/>
      <c r="M841" s="5"/>
      <c r="T841" s="109"/>
      <c r="U841" s="7"/>
    </row>
    <row r="842" s="2" customFormat="true" ht="15" hidden="false" customHeight="false" outlineLevel="0" collapsed="false">
      <c r="I842" s="209"/>
      <c r="J842" s="210"/>
      <c r="K842" s="209"/>
      <c r="L842" s="209"/>
      <c r="M842" s="5"/>
      <c r="T842" s="109"/>
      <c r="U842" s="7"/>
    </row>
    <row r="843" s="2" customFormat="true" ht="15" hidden="false" customHeight="false" outlineLevel="0" collapsed="false">
      <c r="I843" s="5"/>
      <c r="J843" s="211"/>
      <c r="K843" s="5"/>
      <c r="L843" s="5"/>
      <c r="M843" s="5"/>
      <c r="T843" s="109"/>
      <c r="U843" s="7"/>
    </row>
    <row r="844" s="2" customFormat="true" ht="15" hidden="false" customHeight="false" outlineLevel="0" collapsed="false">
      <c r="I844" s="209"/>
      <c r="J844" s="210"/>
      <c r="K844" s="209"/>
      <c r="L844" s="209"/>
      <c r="M844" s="5"/>
      <c r="T844" s="109"/>
      <c r="U844" s="7"/>
    </row>
    <row r="845" s="2" customFormat="true" ht="15" hidden="false" customHeight="false" outlineLevel="0" collapsed="false">
      <c r="I845" s="5"/>
      <c r="J845" s="211"/>
      <c r="K845" s="5"/>
      <c r="L845" s="5"/>
      <c r="M845" s="5"/>
      <c r="T845" s="109"/>
      <c r="U845" s="7"/>
    </row>
    <row r="846" s="2" customFormat="true" ht="15" hidden="false" customHeight="false" outlineLevel="0" collapsed="false">
      <c r="I846" s="209"/>
      <c r="J846" s="210"/>
      <c r="K846" s="209"/>
      <c r="L846" s="209"/>
      <c r="M846" s="5"/>
      <c r="T846" s="109"/>
      <c r="U846" s="7"/>
    </row>
    <row r="847" s="2" customFormat="true" ht="15" hidden="false" customHeight="false" outlineLevel="0" collapsed="false">
      <c r="I847" s="5"/>
      <c r="J847" s="211"/>
      <c r="K847" s="5"/>
      <c r="L847" s="5"/>
      <c r="M847" s="5"/>
      <c r="T847" s="109"/>
      <c r="U847" s="7"/>
    </row>
    <row r="848" s="2" customFormat="true" ht="15" hidden="false" customHeight="false" outlineLevel="0" collapsed="false">
      <c r="I848" s="209"/>
      <c r="J848" s="210"/>
      <c r="K848" s="209"/>
      <c r="L848" s="209"/>
      <c r="M848" s="5"/>
      <c r="T848" s="109"/>
      <c r="U848" s="7"/>
    </row>
    <row r="849" s="2" customFormat="true" ht="15" hidden="false" customHeight="false" outlineLevel="0" collapsed="false">
      <c r="I849" s="5"/>
      <c r="J849" s="211"/>
      <c r="K849" s="5"/>
      <c r="L849" s="5"/>
      <c r="M849" s="5"/>
      <c r="T849" s="109"/>
      <c r="U849" s="7"/>
    </row>
    <row r="850" s="2" customFormat="true" ht="15" hidden="false" customHeight="false" outlineLevel="0" collapsed="false">
      <c r="I850" s="209"/>
      <c r="J850" s="210"/>
      <c r="K850" s="209"/>
      <c r="L850" s="209"/>
      <c r="M850" s="5"/>
      <c r="T850" s="109"/>
      <c r="U850" s="7"/>
    </row>
    <row r="851" s="2" customFormat="true" ht="15" hidden="false" customHeight="false" outlineLevel="0" collapsed="false">
      <c r="I851" s="5"/>
      <c r="J851" s="211"/>
      <c r="K851" s="5"/>
      <c r="L851" s="5"/>
      <c r="M851" s="5"/>
      <c r="T851" s="109"/>
      <c r="U851" s="7"/>
    </row>
    <row r="852" s="2" customFormat="true" ht="15" hidden="false" customHeight="false" outlineLevel="0" collapsed="false">
      <c r="I852" s="209"/>
      <c r="J852" s="210"/>
      <c r="K852" s="209"/>
      <c r="L852" s="209"/>
      <c r="M852" s="5"/>
      <c r="T852" s="109"/>
      <c r="U852" s="7"/>
    </row>
    <row r="853" s="2" customFormat="true" ht="15" hidden="false" customHeight="false" outlineLevel="0" collapsed="false">
      <c r="I853" s="5"/>
      <c r="J853" s="211"/>
      <c r="K853" s="5"/>
      <c r="L853" s="5"/>
      <c r="M853" s="5"/>
      <c r="T853" s="109"/>
      <c r="U853" s="7"/>
    </row>
    <row r="854" s="2" customFormat="true" ht="15" hidden="false" customHeight="false" outlineLevel="0" collapsed="false">
      <c r="I854" s="209"/>
      <c r="J854" s="210"/>
      <c r="K854" s="209"/>
      <c r="L854" s="209"/>
      <c r="M854" s="5"/>
      <c r="T854" s="109"/>
      <c r="U854" s="7"/>
    </row>
    <row r="855" s="2" customFormat="true" ht="15" hidden="false" customHeight="false" outlineLevel="0" collapsed="false">
      <c r="I855" s="5"/>
      <c r="J855" s="211"/>
      <c r="K855" s="5"/>
      <c r="L855" s="5"/>
      <c r="M855" s="5"/>
      <c r="T855" s="109"/>
      <c r="U855" s="7"/>
    </row>
    <row r="856" s="2" customFormat="true" ht="15" hidden="false" customHeight="false" outlineLevel="0" collapsed="false">
      <c r="I856" s="209"/>
      <c r="J856" s="210"/>
      <c r="K856" s="209"/>
      <c r="L856" s="209"/>
      <c r="M856" s="5"/>
      <c r="T856" s="109"/>
      <c r="U856" s="7"/>
    </row>
    <row r="857" s="2" customFormat="true" ht="15" hidden="false" customHeight="false" outlineLevel="0" collapsed="false">
      <c r="I857" s="5"/>
      <c r="J857" s="211"/>
      <c r="K857" s="5"/>
      <c r="L857" s="5"/>
      <c r="M857" s="5"/>
      <c r="T857" s="109"/>
      <c r="U857" s="7"/>
    </row>
    <row r="858" s="2" customFormat="true" ht="15" hidden="false" customHeight="false" outlineLevel="0" collapsed="false">
      <c r="I858" s="209"/>
      <c r="J858" s="210"/>
      <c r="K858" s="209"/>
      <c r="L858" s="209"/>
      <c r="M858" s="5"/>
      <c r="T858" s="109"/>
      <c r="U858" s="7"/>
    </row>
    <row r="859" s="2" customFormat="true" ht="15" hidden="false" customHeight="false" outlineLevel="0" collapsed="false">
      <c r="I859" s="5"/>
      <c r="J859" s="211"/>
      <c r="K859" s="5"/>
      <c r="L859" s="5"/>
      <c r="M859" s="5"/>
      <c r="T859" s="109"/>
      <c r="U859" s="7"/>
    </row>
    <row r="860" s="2" customFormat="true" ht="15" hidden="false" customHeight="false" outlineLevel="0" collapsed="false">
      <c r="I860" s="209"/>
      <c r="J860" s="210"/>
      <c r="K860" s="209"/>
      <c r="L860" s="209"/>
      <c r="M860" s="5"/>
      <c r="T860" s="109"/>
      <c r="U860" s="7"/>
    </row>
    <row r="861" s="2" customFormat="true" ht="15" hidden="false" customHeight="false" outlineLevel="0" collapsed="false">
      <c r="I861" s="5"/>
      <c r="J861" s="211"/>
      <c r="K861" s="5"/>
      <c r="L861" s="5"/>
      <c r="M861" s="5"/>
      <c r="T861" s="109"/>
      <c r="U861" s="7"/>
    </row>
    <row r="862" s="2" customFormat="true" ht="15" hidden="false" customHeight="false" outlineLevel="0" collapsed="false">
      <c r="I862" s="209"/>
      <c r="J862" s="210"/>
      <c r="K862" s="209"/>
      <c r="L862" s="209"/>
      <c r="M862" s="5"/>
      <c r="T862" s="109"/>
      <c r="U862" s="7"/>
    </row>
    <row r="863" s="2" customFormat="true" ht="15" hidden="false" customHeight="false" outlineLevel="0" collapsed="false">
      <c r="I863" s="5"/>
      <c r="J863" s="211"/>
      <c r="K863" s="5"/>
      <c r="L863" s="5"/>
      <c r="M863" s="5"/>
      <c r="T863" s="109"/>
      <c r="U863" s="7"/>
    </row>
    <row r="864" s="2" customFormat="true" ht="15" hidden="false" customHeight="false" outlineLevel="0" collapsed="false">
      <c r="I864" s="209"/>
      <c r="J864" s="210"/>
      <c r="K864" s="209"/>
      <c r="L864" s="209"/>
      <c r="M864" s="5"/>
      <c r="T864" s="109"/>
      <c r="U864" s="7"/>
    </row>
    <row r="865" s="2" customFormat="true" ht="15" hidden="false" customHeight="false" outlineLevel="0" collapsed="false">
      <c r="I865" s="5"/>
      <c r="J865" s="211"/>
      <c r="K865" s="5"/>
      <c r="L865" s="5"/>
      <c r="M865" s="5"/>
      <c r="T865" s="109"/>
      <c r="U865" s="7"/>
    </row>
    <row r="866" s="2" customFormat="true" ht="15" hidden="false" customHeight="false" outlineLevel="0" collapsed="false">
      <c r="I866" s="209"/>
      <c r="J866" s="210"/>
      <c r="K866" s="209"/>
      <c r="L866" s="209"/>
      <c r="M866" s="5"/>
      <c r="T866" s="109"/>
      <c r="U866" s="7"/>
    </row>
    <row r="867" s="2" customFormat="true" ht="15" hidden="false" customHeight="false" outlineLevel="0" collapsed="false">
      <c r="I867" s="5"/>
      <c r="J867" s="211"/>
      <c r="K867" s="5"/>
      <c r="L867" s="5"/>
      <c r="M867" s="5"/>
      <c r="T867" s="109"/>
      <c r="U867" s="7"/>
    </row>
    <row r="868" s="2" customFormat="true" ht="15" hidden="false" customHeight="false" outlineLevel="0" collapsed="false">
      <c r="I868" s="209"/>
      <c r="J868" s="210"/>
      <c r="K868" s="209"/>
      <c r="L868" s="209"/>
      <c r="M868" s="5"/>
      <c r="T868" s="109"/>
      <c r="U868" s="7"/>
    </row>
    <row r="869" s="2" customFormat="true" ht="15" hidden="false" customHeight="false" outlineLevel="0" collapsed="false">
      <c r="I869" s="5"/>
      <c r="J869" s="211"/>
      <c r="K869" s="5"/>
      <c r="L869" s="5"/>
      <c r="M869" s="5"/>
      <c r="T869" s="109"/>
      <c r="U869" s="7"/>
    </row>
    <row r="870" s="2" customFormat="true" ht="15" hidden="false" customHeight="false" outlineLevel="0" collapsed="false">
      <c r="I870" s="209"/>
      <c r="J870" s="210"/>
      <c r="K870" s="209"/>
      <c r="L870" s="209"/>
      <c r="M870" s="5"/>
      <c r="T870" s="109"/>
      <c r="U870" s="7"/>
    </row>
    <row r="871" s="2" customFormat="true" ht="15" hidden="false" customHeight="false" outlineLevel="0" collapsed="false">
      <c r="I871" s="5"/>
      <c r="J871" s="211"/>
      <c r="K871" s="5"/>
      <c r="L871" s="5"/>
      <c r="M871" s="5"/>
      <c r="T871" s="109"/>
      <c r="U871" s="7"/>
    </row>
    <row r="872" s="2" customFormat="true" ht="15" hidden="false" customHeight="false" outlineLevel="0" collapsed="false">
      <c r="I872" s="209"/>
      <c r="J872" s="210"/>
      <c r="K872" s="209"/>
      <c r="L872" s="209"/>
      <c r="M872" s="5"/>
      <c r="T872" s="109"/>
      <c r="U872" s="7"/>
    </row>
    <row r="873" s="2" customFormat="true" ht="15" hidden="false" customHeight="false" outlineLevel="0" collapsed="false">
      <c r="I873" s="5"/>
      <c r="J873" s="211"/>
      <c r="K873" s="5"/>
      <c r="L873" s="5"/>
      <c r="M873" s="5"/>
      <c r="T873" s="109"/>
      <c r="U873" s="7"/>
    </row>
    <row r="874" s="2" customFormat="true" ht="15" hidden="false" customHeight="false" outlineLevel="0" collapsed="false">
      <c r="I874" s="209"/>
      <c r="J874" s="210"/>
      <c r="K874" s="209"/>
      <c r="L874" s="209"/>
      <c r="M874" s="5"/>
      <c r="T874" s="109"/>
      <c r="U874" s="7"/>
    </row>
    <row r="875" s="2" customFormat="true" ht="15" hidden="false" customHeight="false" outlineLevel="0" collapsed="false">
      <c r="I875" s="5"/>
      <c r="J875" s="211"/>
      <c r="K875" s="5"/>
      <c r="L875" s="5"/>
      <c r="M875" s="5"/>
      <c r="T875" s="109"/>
      <c r="U875" s="7"/>
    </row>
    <row r="876" s="2" customFormat="true" ht="15" hidden="false" customHeight="false" outlineLevel="0" collapsed="false">
      <c r="I876" s="209"/>
      <c r="J876" s="210"/>
      <c r="K876" s="209"/>
      <c r="L876" s="209"/>
      <c r="M876" s="5"/>
      <c r="T876" s="109"/>
      <c r="U876" s="7"/>
    </row>
    <row r="877" s="2" customFormat="true" ht="15" hidden="false" customHeight="false" outlineLevel="0" collapsed="false">
      <c r="I877" s="5"/>
      <c r="J877" s="211"/>
      <c r="K877" s="5"/>
      <c r="L877" s="5"/>
      <c r="M877" s="5"/>
      <c r="T877" s="109"/>
      <c r="U877" s="7"/>
    </row>
    <row r="878" s="2" customFormat="true" ht="15" hidden="false" customHeight="false" outlineLevel="0" collapsed="false">
      <c r="I878" s="209"/>
      <c r="J878" s="210"/>
      <c r="K878" s="209"/>
      <c r="L878" s="209"/>
      <c r="M878" s="5"/>
      <c r="T878" s="109"/>
      <c r="U878" s="7"/>
    </row>
    <row r="879" s="2" customFormat="true" ht="15" hidden="false" customHeight="false" outlineLevel="0" collapsed="false">
      <c r="I879" s="5"/>
      <c r="J879" s="211"/>
      <c r="K879" s="5"/>
      <c r="L879" s="5"/>
      <c r="M879" s="5"/>
      <c r="T879" s="109"/>
      <c r="U879" s="7"/>
    </row>
    <row r="880" s="2" customFormat="true" ht="15" hidden="false" customHeight="false" outlineLevel="0" collapsed="false">
      <c r="I880" s="209"/>
      <c r="J880" s="210"/>
      <c r="K880" s="209"/>
      <c r="L880" s="209"/>
      <c r="M880" s="5"/>
      <c r="T880" s="109"/>
      <c r="U880" s="7"/>
    </row>
    <row r="881" s="2" customFormat="true" ht="15" hidden="false" customHeight="false" outlineLevel="0" collapsed="false">
      <c r="I881" s="5"/>
      <c r="J881" s="211"/>
      <c r="K881" s="5"/>
      <c r="L881" s="5"/>
      <c r="M881" s="5"/>
      <c r="T881" s="109"/>
      <c r="U881" s="7"/>
    </row>
    <row r="882" s="2" customFormat="true" ht="15" hidden="false" customHeight="false" outlineLevel="0" collapsed="false">
      <c r="I882" s="209"/>
      <c r="J882" s="210"/>
      <c r="K882" s="209"/>
      <c r="L882" s="209"/>
      <c r="M882" s="5"/>
      <c r="T882" s="109"/>
      <c r="U882" s="7"/>
    </row>
    <row r="883" s="2" customFormat="true" ht="15" hidden="false" customHeight="false" outlineLevel="0" collapsed="false">
      <c r="I883" s="5"/>
      <c r="J883" s="211"/>
      <c r="K883" s="5"/>
      <c r="L883" s="5"/>
      <c r="M883" s="5"/>
      <c r="T883" s="109"/>
      <c r="U883" s="7"/>
    </row>
    <row r="884" s="2" customFormat="true" ht="15" hidden="false" customHeight="false" outlineLevel="0" collapsed="false">
      <c r="I884" s="209"/>
      <c r="J884" s="210"/>
      <c r="K884" s="209"/>
      <c r="L884" s="209"/>
      <c r="M884" s="5"/>
      <c r="T884" s="109"/>
      <c r="U884" s="7"/>
    </row>
    <row r="885" s="2" customFormat="true" ht="15" hidden="false" customHeight="false" outlineLevel="0" collapsed="false">
      <c r="I885" s="5"/>
      <c r="J885" s="211"/>
      <c r="K885" s="5"/>
      <c r="L885" s="5"/>
      <c r="M885" s="5"/>
      <c r="T885" s="109"/>
      <c r="U885" s="7"/>
    </row>
    <row r="886" s="2" customFormat="true" ht="15" hidden="false" customHeight="false" outlineLevel="0" collapsed="false">
      <c r="I886" s="209"/>
      <c r="J886" s="210"/>
      <c r="K886" s="209"/>
      <c r="L886" s="209"/>
      <c r="M886" s="5"/>
      <c r="T886" s="109"/>
      <c r="U886" s="7"/>
    </row>
    <row r="887" s="2" customFormat="true" ht="15" hidden="false" customHeight="false" outlineLevel="0" collapsed="false">
      <c r="I887" s="5"/>
      <c r="J887" s="211"/>
      <c r="K887" s="5"/>
      <c r="L887" s="5"/>
      <c r="M887" s="5"/>
      <c r="T887" s="109"/>
      <c r="U887" s="7"/>
    </row>
    <row r="888" s="2" customFormat="true" ht="15" hidden="false" customHeight="false" outlineLevel="0" collapsed="false">
      <c r="I888" s="209"/>
      <c r="J888" s="210"/>
      <c r="K888" s="209"/>
      <c r="L888" s="209"/>
      <c r="M888" s="5"/>
      <c r="T888" s="109"/>
      <c r="U888" s="7"/>
    </row>
    <row r="889" s="2" customFormat="true" ht="15" hidden="false" customHeight="false" outlineLevel="0" collapsed="false">
      <c r="I889" s="5"/>
      <c r="J889" s="211"/>
      <c r="K889" s="5"/>
      <c r="L889" s="5"/>
      <c r="M889" s="5"/>
      <c r="T889" s="109"/>
      <c r="U889" s="7"/>
    </row>
    <row r="890" s="2" customFormat="true" ht="15" hidden="false" customHeight="false" outlineLevel="0" collapsed="false">
      <c r="I890" s="209"/>
      <c r="J890" s="210"/>
      <c r="K890" s="209"/>
      <c r="L890" s="209"/>
      <c r="M890" s="5"/>
      <c r="T890" s="109"/>
      <c r="U890" s="7"/>
    </row>
    <row r="891" s="2" customFormat="true" ht="15" hidden="false" customHeight="false" outlineLevel="0" collapsed="false">
      <c r="I891" s="5"/>
      <c r="J891" s="211"/>
      <c r="K891" s="5"/>
      <c r="L891" s="5"/>
      <c r="M891" s="5"/>
      <c r="T891" s="109"/>
      <c r="U891" s="7"/>
    </row>
    <row r="892" s="2" customFormat="true" ht="15" hidden="false" customHeight="false" outlineLevel="0" collapsed="false">
      <c r="I892" s="209"/>
      <c r="J892" s="210"/>
      <c r="K892" s="209"/>
      <c r="L892" s="209"/>
      <c r="M892" s="5"/>
      <c r="T892" s="109"/>
      <c r="U892" s="7"/>
    </row>
    <row r="893" s="2" customFormat="true" ht="15" hidden="false" customHeight="false" outlineLevel="0" collapsed="false">
      <c r="I893" s="5"/>
      <c r="J893" s="211"/>
      <c r="K893" s="5"/>
      <c r="L893" s="5"/>
      <c r="M893" s="5"/>
      <c r="T893" s="109"/>
      <c r="U893" s="7"/>
    </row>
    <row r="894" s="2" customFormat="true" ht="15" hidden="false" customHeight="false" outlineLevel="0" collapsed="false">
      <c r="I894" s="209"/>
      <c r="J894" s="210"/>
      <c r="K894" s="209"/>
      <c r="L894" s="209"/>
      <c r="M894" s="5"/>
      <c r="T894" s="109"/>
      <c r="U894" s="7"/>
    </row>
    <row r="895" s="2" customFormat="true" ht="15" hidden="false" customHeight="false" outlineLevel="0" collapsed="false">
      <c r="I895" s="5"/>
      <c r="J895" s="211"/>
      <c r="K895" s="5"/>
      <c r="L895" s="5"/>
      <c r="M895" s="5"/>
      <c r="T895" s="109"/>
      <c r="U895" s="7"/>
    </row>
    <row r="896" s="2" customFormat="true" ht="15" hidden="false" customHeight="false" outlineLevel="0" collapsed="false">
      <c r="I896" s="209"/>
      <c r="J896" s="210"/>
      <c r="K896" s="209"/>
      <c r="L896" s="209"/>
      <c r="M896" s="5"/>
      <c r="T896" s="109"/>
      <c r="U896" s="7"/>
    </row>
    <row r="897" s="2" customFormat="true" ht="15" hidden="false" customHeight="false" outlineLevel="0" collapsed="false">
      <c r="I897" s="5"/>
      <c r="J897" s="211"/>
      <c r="K897" s="5"/>
      <c r="L897" s="5"/>
      <c r="M897" s="5"/>
      <c r="T897" s="109"/>
      <c r="U897" s="7"/>
    </row>
    <row r="898" s="2" customFormat="true" ht="15" hidden="false" customHeight="false" outlineLevel="0" collapsed="false">
      <c r="I898" s="209"/>
      <c r="J898" s="210"/>
      <c r="K898" s="209"/>
      <c r="L898" s="209"/>
      <c r="M898" s="5"/>
      <c r="T898" s="109"/>
      <c r="U898" s="7"/>
    </row>
    <row r="899" s="2" customFormat="true" ht="15" hidden="false" customHeight="false" outlineLevel="0" collapsed="false">
      <c r="I899" s="5"/>
      <c r="J899" s="211"/>
      <c r="K899" s="5"/>
      <c r="L899" s="5"/>
      <c r="M899" s="5"/>
      <c r="T899" s="109"/>
      <c r="U899" s="7"/>
    </row>
    <row r="900" s="2" customFormat="true" ht="15" hidden="false" customHeight="false" outlineLevel="0" collapsed="false">
      <c r="I900" s="209"/>
      <c r="J900" s="210"/>
      <c r="K900" s="209"/>
      <c r="L900" s="209"/>
      <c r="M900" s="5"/>
      <c r="T900" s="109"/>
      <c r="U900" s="7"/>
    </row>
    <row r="901" s="2" customFormat="true" ht="15" hidden="false" customHeight="false" outlineLevel="0" collapsed="false">
      <c r="I901" s="5"/>
      <c r="J901" s="211"/>
      <c r="K901" s="5"/>
      <c r="L901" s="5"/>
      <c r="M901" s="5"/>
      <c r="T901" s="109"/>
      <c r="U901" s="7"/>
    </row>
    <row r="902" s="2" customFormat="true" ht="15" hidden="false" customHeight="false" outlineLevel="0" collapsed="false">
      <c r="I902" s="209"/>
      <c r="J902" s="210"/>
      <c r="K902" s="209"/>
      <c r="L902" s="209"/>
      <c r="M902" s="5"/>
      <c r="T902" s="109"/>
      <c r="U902" s="7"/>
    </row>
    <row r="903" s="2" customFormat="true" ht="15" hidden="false" customHeight="false" outlineLevel="0" collapsed="false">
      <c r="I903" s="5"/>
      <c r="J903" s="211"/>
      <c r="K903" s="5"/>
      <c r="L903" s="5"/>
      <c r="M903" s="5"/>
      <c r="T903" s="109"/>
      <c r="U903" s="7"/>
    </row>
    <row r="904" s="2" customFormat="true" ht="15" hidden="false" customHeight="false" outlineLevel="0" collapsed="false">
      <c r="I904" s="209"/>
      <c r="J904" s="210"/>
      <c r="K904" s="209"/>
      <c r="L904" s="209"/>
      <c r="M904" s="5"/>
      <c r="T904" s="109"/>
      <c r="U904" s="7"/>
    </row>
    <row r="905" s="2" customFormat="true" ht="15" hidden="false" customHeight="false" outlineLevel="0" collapsed="false">
      <c r="I905" s="5"/>
      <c r="J905" s="211"/>
      <c r="K905" s="5"/>
      <c r="L905" s="5"/>
      <c r="M905" s="5"/>
      <c r="T905" s="109"/>
      <c r="U905" s="7"/>
    </row>
    <row r="906" s="2" customFormat="true" ht="15" hidden="false" customHeight="false" outlineLevel="0" collapsed="false">
      <c r="I906" s="209"/>
      <c r="J906" s="210"/>
      <c r="K906" s="209"/>
      <c r="L906" s="209"/>
      <c r="M906" s="5"/>
      <c r="T906" s="109"/>
      <c r="U906" s="7"/>
    </row>
    <row r="907" s="2" customFormat="true" ht="15" hidden="false" customHeight="false" outlineLevel="0" collapsed="false">
      <c r="I907" s="5"/>
      <c r="J907" s="211"/>
      <c r="K907" s="5"/>
      <c r="L907" s="5"/>
      <c r="M907" s="5"/>
      <c r="T907" s="109"/>
      <c r="U907" s="7"/>
    </row>
    <row r="908" s="2" customFormat="true" ht="15" hidden="false" customHeight="false" outlineLevel="0" collapsed="false">
      <c r="I908" s="209"/>
      <c r="J908" s="210"/>
      <c r="K908" s="209"/>
      <c r="L908" s="209"/>
      <c r="M908" s="5"/>
      <c r="T908" s="109"/>
      <c r="U908" s="7"/>
    </row>
    <row r="909" s="2" customFormat="true" ht="15" hidden="false" customHeight="false" outlineLevel="0" collapsed="false">
      <c r="I909" s="5"/>
      <c r="J909" s="211"/>
      <c r="K909" s="5"/>
      <c r="L909" s="5"/>
      <c r="M909" s="5"/>
      <c r="T909" s="109"/>
      <c r="U909" s="7"/>
    </row>
    <row r="910" s="2" customFormat="true" ht="15" hidden="false" customHeight="false" outlineLevel="0" collapsed="false">
      <c r="I910" s="209"/>
      <c r="J910" s="210"/>
      <c r="K910" s="209"/>
      <c r="L910" s="209"/>
      <c r="M910" s="5"/>
      <c r="T910" s="109"/>
      <c r="U910" s="7"/>
    </row>
    <row r="911" s="2" customFormat="true" ht="15" hidden="false" customHeight="false" outlineLevel="0" collapsed="false">
      <c r="I911" s="5"/>
      <c r="J911" s="211"/>
      <c r="K911" s="5"/>
      <c r="L911" s="5"/>
      <c r="M911" s="5"/>
      <c r="T911" s="109"/>
      <c r="U911" s="7"/>
    </row>
    <row r="912" s="2" customFormat="true" ht="15" hidden="false" customHeight="false" outlineLevel="0" collapsed="false">
      <c r="I912" s="209"/>
      <c r="J912" s="210"/>
      <c r="K912" s="209"/>
      <c r="L912" s="209"/>
      <c r="M912" s="5"/>
      <c r="T912" s="109"/>
      <c r="U912" s="7"/>
    </row>
    <row r="913" s="2" customFormat="true" ht="15" hidden="false" customHeight="false" outlineLevel="0" collapsed="false">
      <c r="I913" s="5"/>
      <c r="J913" s="211"/>
      <c r="K913" s="5"/>
      <c r="L913" s="5"/>
      <c r="M913" s="5"/>
      <c r="T913" s="109"/>
      <c r="U913" s="7"/>
    </row>
    <row r="914" s="2" customFormat="true" ht="15" hidden="false" customHeight="false" outlineLevel="0" collapsed="false">
      <c r="I914" s="209"/>
      <c r="J914" s="210"/>
      <c r="K914" s="209"/>
      <c r="L914" s="209"/>
      <c r="M914" s="5"/>
      <c r="T914" s="109"/>
      <c r="U914" s="7"/>
    </row>
    <row r="915" s="2" customFormat="true" ht="15" hidden="false" customHeight="false" outlineLevel="0" collapsed="false">
      <c r="I915" s="5"/>
      <c r="J915" s="211"/>
      <c r="K915" s="5"/>
      <c r="L915" s="5"/>
      <c r="M915" s="5"/>
      <c r="T915" s="109"/>
      <c r="U915" s="7"/>
    </row>
    <row r="916" s="2" customFormat="true" ht="15" hidden="false" customHeight="false" outlineLevel="0" collapsed="false">
      <c r="I916" s="209"/>
      <c r="J916" s="210"/>
      <c r="K916" s="209"/>
      <c r="L916" s="209"/>
      <c r="M916" s="5"/>
      <c r="T916" s="109"/>
      <c r="U916" s="7"/>
    </row>
    <row r="917" s="2" customFormat="true" ht="15" hidden="false" customHeight="false" outlineLevel="0" collapsed="false">
      <c r="I917" s="5"/>
      <c r="J917" s="211"/>
      <c r="K917" s="5"/>
      <c r="L917" s="5"/>
      <c r="M917" s="5"/>
      <c r="T917" s="109"/>
      <c r="U917" s="7"/>
    </row>
    <row r="918" s="2" customFormat="true" ht="15" hidden="false" customHeight="false" outlineLevel="0" collapsed="false">
      <c r="I918" s="209"/>
      <c r="J918" s="210"/>
      <c r="K918" s="209"/>
      <c r="L918" s="209"/>
      <c r="M918" s="5"/>
      <c r="T918" s="109"/>
      <c r="U918" s="7"/>
    </row>
    <row r="919" s="2" customFormat="true" ht="15" hidden="false" customHeight="false" outlineLevel="0" collapsed="false">
      <c r="I919" s="5"/>
      <c r="J919" s="211"/>
      <c r="K919" s="5"/>
      <c r="L919" s="5"/>
      <c r="M919" s="5"/>
      <c r="T919" s="109"/>
      <c r="U919" s="7"/>
    </row>
    <row r="920" s="2" customFormat="true" ht="15" hidden="false" customHeight="false" outlineLevel="0" collapsed="false">
      <c r="I920" s="209"/>
      <c r="J920" s="210"/>
      <c r="K920" s="209"/>
      <c r="L920" s="209"/>
      <c r="M920" s="5"/>
      <c r="T920" s="109"/>
      <c r="U920" s="7"/>
    </row>
    <row r="921" s="2" customFormat="true" ht="15" hidden="false" customHeight="false" outlineLevel="0" collapsed="false">
      <c r="I921" s="5"/>
      <c r="J921" s="211"/>
      <c r="K921" s="5"/>
      <c r="L921" s="5"/>
      <c r="M921" s="5"/>
      <c r="T921" s="109"/>
      <c r="U921" s="7"/>
    </row>
    <row r="922" s="2" customFormat="true" ht="15" hidden="false" customHeight="false" outlineLevel="0" collapsed="false">
      <c r="I922" s="209"/>
      <c r="J922" s="210"/>
      <c r="K922" s="209"/>
      <c r="L922" s="209"/>
      <c r="M922" s="5"/>
      <c r="T922" s="109"/>
      <c r="U922" s="7"/>
    </row>
    <row r="923" s="2" customFormat="true" ht="15" hidden="false" customHeight="false" outlineLevel="0" collapsed="false">
      <c r="I923" s="5"/>
      <c r="J923" s="211"/>
      <c r="K923" s="5"/>
      <c r="L923" s="5"/>
      <c r="M923" s="5"/>
      <c r="T923" s="109"/>
      <c r="U923" s="7"/>
    </row>
    <row r="924" s="2" customFormat="true" ht="15" hidden="false" customHeight="false" outlineLevel="0" collapsed="false">
      <c r="I924" s="209"/>
      <c r="J924" s="210"/>
      <c r="K924" s="209"/>
      <c r="L924" s="209"/>
      <c r="M924" s="5"/>
      <c r="T924" s="109"/>
      <c r="U924" s="7"/>
    </row>
    <row r="925" s="2" customFormat="true" ht="15" hidden="false" customHeight="false" outlineLevel="0" collapsed="false">
      <c r="I925" s="5"/>
      <c r="J925" s="211"/>
      <c r="K925" s="5"/>
      <c r="L925" s="5"/>
      <c r="M925" s="5"/>
      <c r="T925" s="109"/>
      <c r="U925" s="7"/>
    </row>
    <row r="926" s="2" customFormat="true" ht="15" hidden="false" customHeight="false" outlineLevel="0" collapsed="false">
      <c r="I926" s="209"/>
      <c r="J926" s="210"/>
      <c r="K926" s="209"/>
      <c r="L926" s="209"/>
      <c r="M926" s="5"/>
      <c r="T926" s="109"/>
      <c r="U926" s="7"/>
    </row>
    <row r="927" s="2" customFormat="true" ht="15" hidden="false" customHeight="false" outlineLevel="0" collapsed="false">
      <c r="I927" s="5"/>
      <c r="J927" s="211"/>
      <c r="K927" s="5"/>
      <c r="L927" s="5"/>
      <c r="M927" s="5"/>
      <c r="T927" s="109"/>
      <c r="U927" s="7"/>
    </row>
    <row r="928" s="2" customFormat="true" ht="15" hidden="false" customHeight="false" outlineLevel="0" collapsed="false">
      <c r="I928" s="209"/>
      <c r="J928" s="210"/>
      <c r="K928" s="209"/>
      <c r="L928" s="209"/>
      <c r="M928" s="5"/>
      <c r="T928" s="109"/>
      <c r="U928" s="7"/>
    </row>
    <row r="929" s="2" customFormat="true" ht="15" hidden="false" customHeight="false" outlineLevel="0" collapsed="false">
      <c r="I929" s="5"/>
      <c r="J929" s="211"/>
      <c r="K929" s="5"/>
      <c r="L929" s="5"/>
      <c r="M929" s="5"/>
      <c r="T929" s="109"/>
      <c r="U929" s="7"/>
    </row>
    <row r="930" s="2" customFormat="true" ht="15" hidden="false" customHeight="false" outlineLevel="0" collapsed="false">
      <c r="I930" s="209"/>
      <c r="J930" s="210"/>
      <c r="K930" s="209"/>
      <c r="L930" s="209"/>
      <c r="M930" s="5"/>
      <c r="T930" s="109"/>
      <c r="U930" s="7"/>
    </row>
    <row r="931" s="2" customFormat="true" ht="15" hidden="false" customHeight="false" outlineLevel="0" collapsed="false">
      <c r="I931" s="5"/>
      <c r="J931" s="211"/>
      <c r="K931" s="5"/>
      <c r="L931" s="5"/>
      <c r="M931" s="5"/>
      <c r="T931" s="109"/>
      <c r="U931" s="7"/>
    </row>
    <row r="932" s="2" customFormat="true" ht="15" hidden="false" customHeight="false" outlineLevel="0" collapsed="false">
      <c r="I932" s="209"/>
      <c r="J932" s="210"/>
      <c r="K932" s="209"/>
      <c r="L932" s="209"/>
      <c r="M932" s="5"/>
      <c r="T932" s="109"/>
      <c r="U932" s="7"/>
    </row>
    <row r="933" s="2" customFormat="true" ht="15" hidden="false" customHeight="false" outlineLevel="0" collapsed="false">
      <c r="I933" s="5"/>
      <c r="J933" s="211"/>
      <c r="K933" s="5"/>
      <c r="L933" s="5"/>
      <c r="M933" s="5"/>
      <c r="T933" s="109"/>
      <c r="U933" s="7"/>
    </row>
    <row r="934" s="2" customFormat="true" ht="15" hidden="false" customHeight="false" outlineLevel="0" collapsed="false">
      <c r="I934" s="209"/>
      <c r="J934" s="210"/>
      <c r="K934" s="209"/>
      <c r="L934" s="209"/>
      <c r="M934" s="5"/>
      <c r="T934" s="109"/>
      <c r="U934" s="7"/>
    </row>
    <row r="935" s="2" customFormat="true" ht="15" hidden="false" customHeight="false" outlineLevel="0" collapsed="false">
      <c r="I935" s="5"/>
      <c r="J935" s="211"/>
      <c r="K935" s="5"/>
      <c r="L935" s="5"/>
      <c r="M935" s="5"/>
      <c r="T935" s="109"/>
      <c r="U935" s="7"/>
    </row>
    <row r="936" s="2" customFormat="true" ht="15" hidden="false" customHeight="false" outlineLevel="0" collapsed="false">
      <c r="I936" s="209"/>
      <c r="J936" s="210"/>
      <c r="K936" s="209"/>
      <c r="L936" s="209"/>
      <c r="M936" s="5"/>
      <c r="T936" s="109"/>
      <c r="U936" s="7"/>
    </row>
    <row r="937" s="2" customFormat="true" ht="15" hidden="false" customHeight="false" outlineLevel="0" collapsed="false">
      <c r="I937" s="5"/>
      <c r="J937" s="211"/>
      <c r="K937" s="5"/>
      <c r="L937" s="5"/>
      <c r="M937" s="5"/>
      <c r="T937" s="109"/>
      <c r="U937" s="7"/>
    </row>
    <row r="938" s="2" customFormat="true" ht="15" hidden="false" customHeight="false" outlineLevel="0" collapsed="false">
      <c r="I938" s="209"/>
      <c r="J938" s="210"/>
      <c r="K938" s="209"/>
      <c r="L938" s="209"/>
      <c r="M938" s="5"/>
      <c r="T938" s="109"/>
      <c r="U938" s="7"/>
    </row>
    <row r="939" s="2" customFormat="true" ht="15" hidden="false" customHeight="false" outlineLevel="0" collapsed="false">
      <c r="I939" s="5"/>
      <c r="J939" s="211"/>
      <c r="K939" s="5"/>
      <c r="L939" s="5"/>
      <c r="M939" s="5"/>
      <c r="T939" s="109"/>
      <c r="U939" s="7"/>
    </row>
    <row r="940" s="2" customFormat="true" ht="15" hidden="false" customHeight="false" outlineLevel="0" collapsed="false">
      <c r="I940" s="209"/>
      <c r="J940" s="210"/>
      <c r="K940" s="209"/>
      <c r="L940" s="209"/>
      <c r="M940" s="5"/>
      <c r="T940" s="109"/>
      <c r="U940" s="7"/>
    </row>
    <row r="941" s="2" customFormat="true" ht="15" hidden="false" customHeight="false" outlineLevel="0" collapsed="false">
      <c r="I941" s="5"/>
      <c r="J941" s="211"/>
      <c r="K941" s="5"/>
      <c r="L941" s="5"/>
      <c r="M941" s="5"/>
      <c r="T941" s="109"/>
      <c r="U941" s="7"/>
    </row>
    <row r="942" s="2" customFormat="true" ht="15" hidden="false" customHeight="false" outlineLevel="0" collapsed="false">
      <c r="I942" s="209"/>
      <c r="J942" s="210"/>
      <c r="K942" s="209"/>
      <c r="L942" s="209"/>
      <c r="M942" s="5"/>
      <c r="T942" s="109"/>
      <c r="U942" s="7"/>
    </row>
    <row r="943" s="2" customFormat="true" ht="15" hidden="false" customHeight="false" outlineLevel="0" collapsed="false">
      <c r="I943" s="5"/>
      <c r="J943" s="211"/>
      <c r="K943" s="5"/>
      <c r="L943" s="5"/>
      <c r="M943" s="5"/>
      <c r="T943" s="109"/>
      <c r="U943" s="7"/>
    </row>
    <row r="944" s="2" customFormat="true" ht="15" hidden="false" customHeight="false" outlineLevel="0" collapsed="false">
      <c r="I944" s="209"/>
      <c r="J944" s="210"/>
      <c r="K944" s="209"/>
      <c r="L944" s="209"/>
      <c r="M944" s="5"/>
      <c r="T944" s="109"/>
      <c r="U944" s="7"/>
    </row>
    <row r="945" s="2" customFormat="true" ht="15" hidden="false" customHeight="false" outlineLevel="0" collapsed="false">
      <c r="I945" s="5"/>
      <c r="J945" s="211"/>
      <c r="K945" s="5"/>
      <c r="L945" s="5"/>
      <c r="M945" s="5"/>
      <c r="T945" s="109"/>
      <c r="U945" s="7"/>
    </row>
    <row r="946" s="2" customFormat="true" ht="15" hidden="false" customHeight="false" outlineLevel="0" collapsed="false">
      <c r="I946" s="209"/>
      <c r="J946" s="210"/>
      <c r="K946" s="209"/>
      <c r="L946" s="209"/>
      <c r="M946" s="5"/>
      <c r="T946" s="109"/>
      <c r="U946" s="7"/>
    </row>
    <row r="947" s="2" customFormat="true" ht="15" hidden="false" customHeight="false" outlineLevel="0" collapsed="false">
      <c r="I947" s="5"/>
      <c r="J947" s="211"/>
      <c r="K947" s="5"/>
      <c r="L947" s="5"/>
      <c r="M947" s="5"/>
      <c r="T947" s="109"/>
      <c r="U947" s="7"/>
    </row>
    <row r="948" s="2" customFormat="true" ht="15" hidden="false" customHeight="false" outlineLevel="0" collapsed="false">
      <c r="I948" s="209"/>
      <c r="J948" s="210"/>
      <c r="K948" s="209"/>
      <c r="L948" s="209"/>
      <c r="M948" s="5"/>
      <c r="T948" s="109"/>
      <c r="U948" s="7"/>
    </row>
    <row r="949" s="2" customFormat="true" ht="15" hidden="false" customHeight="false" outlineLevel="0" collapsed="false">
      <c r="I949" s="5"/>
      <c r="J949" s="211"/>
      <c r="K949" s="5"/>
      <c r="L949" s="5"/>
      <c r="M949" s="5"/>
      <c r="T949" s="109"/>
      <c r="U949" s="7"/>
    </row>
    <row r="950" s="2" customFormat="true" ht="15" hidden="false" customHeight="false" outlineLevel="0" collapsed="false">
      <c r="I950" s="209"/>
      <c r="J950" s="210"/>
      <c r="K950" s="209"/>
      <c r="L950" s="209"/>
      <c r="M950" s="5"/>
      <c r="T950" s="109"/>
      <c r="U950" s="7"/>
    </row>
    <row r="951" s="2" customFormat="true" ht="15" hidden="false" customHeight="false" outlineLevel="0" collapsed="false">
      <c r="I951" s="5"/>
      <c r="J951" s="211"/>
      <c r="K951" s="5"/>
      <c r="L951" s="5"/>
      <c r="M951" s="5"/>
      <c r="T951" s="109"/>
      <c r="U951" s="7"/>
    </row>
    <row r="952" s="2" customFormat="true" ht="15" hidden="false" customHeight="false" outlineLevel="0" collapsed="false">
      <c r="I952" s="209"/>
      <c r="J952" s="210"/>
      <c r="K952" s="209"/>
      <c r="L952" s="209"/>
      <c r="M952" s="5"/>
      <c r="T952" s="109"/>
      <c r="U952" s="7"/>
    </row>
    <row r="953" s="2" customFormat="true" ht="15" hidden="false" customHeight="false" outlineLevel="0" collapsed="false">
      <c r="I953" s="5"/>
      <c r="J953" s="211"/>
      <c r="K953" s="5"/>
      <c r="L953" s="5"/>
      <c r="M953" s="5"/>
      <c r="T953" s="109"/>
      <c r="U953" s="7"/>
    </row>
    <row r="954" s="2" customFormat="true" ht="15" hidden="false" customHeight="false" outlineLevel="0" collapsed="false">
      <c r="I954" s="209"/>
      <c r="J954" s="210"/>
      <c r="K954" s="209"/>
      <c r="L954" s="209"/>
      <c r="M954" s="5"/>
      <c r="T954" s="109"/>
      <c r="U954" s="7"/>
    </row>
    <row r="955" s="2" customFormat="true" ht="15" hidden="false" customHeight="false" outlineLevel="0" collapsed="false">
      <c r="I955" s="5"/>
      <c r="J955" s="211"/>
      <c r="K955" s="5"/>
      <c r="L955" s="5"/>
      <c r="M955" s="5"/>
      <c r="T955" s="109"/>
      <c r="U955" s="7"/>
    </row>
    <row r="956" s="2" customFormat="true" ht="15" hidden="false" customHeight="false" outlineLevel="0" collapsed="false">
      <c r="I956" s="209"/>
      <c r="J956" s="210"/>
      <c r="K956" s="209"/>
      <c r="L956" s="209"/>
      <c r="M956" s="5"/>
      <c r="T956" s="109"/>
      <c r="U956" s="7"/>
    </row>
    <row r="957" s="2" customFormat="true" ht="15" hidden="false" customHeight="false" outlineLevel="0" collapsed="false">
      <c r="I957" s="5"/>
      <c r="J957" s="211"/>
      <c r="K957" s="5"/>
      <c r="L957" s="5"/>
      <c r="M957" s="5"/>
      <c r="T957" s="109"/>
      <c r="U957" s="7"/>
    </row>
    <row r="958" s="2" customFormat="true" ht="15" hidden="false" customHeight="false" outlineLevel="0" collapsed="false">
      <c r="I958" s="209"/>
      <c r="J958" s="210"/>
      <c r="K958" s="209"/>
      <c r="L958" s="209"/>
      <c r="M958" s="5"/>
      <c r="T958" s="109"/>
      <c r="U958" s="7"/>
    </row>
    <row r="959" s="2" customFormat="true" ht="15" hidden="false" customHeight="false" outlineLevel="0" collapsed="false">
      <c r="I959" s="5"/>
      <c r="J959" s="211"/>
      <c r="K959" s="5"/>
      <c r="L959" s="5"/>
      <c r="M959" s="5"/>
      <c r="T959" s="109"/>
      <c r="U959" s="7"/>
    </row>
    <row r="960" s="2" customFormat="true" ht="15" hidden="false" customHeight="false" outlineLevel="0" collapsed="false">
      <c r="I960" s="209"/>
      <c r="J960" s="210"/>
      <c r="K960" s="209"/>
      <c r="L960" s="209"/>
      <c r="M960" s="5"/>
      <c r="T960" s="109"/>
      <c r="U960" s="7"/>
    </row>
    <row r="961" s="2" customFormat="true" ht="15" hidden="false" customHeight="false" outlineLevel="0" collapsed="false">
      <c r="I961" s="5"/>
      <c r="J961" s="211"/>
      <c r="K961" s="5"/>
      <c r="L961" s="5"/>
      <c r="M961" s="5"/>
      <c r="T961" s="109"/>
      <c r="U961" s="7"/>
    </row>
    <row r="962" s="2" customFormat="true" ht="15" hidden="false" customHeight="false" outlineLevel="0" collapsed="false">
      <c r="I962" s="209"/>
      <c r="J962" s="210"/>
      <c r="K962" s="209"/>
      <c r="L962" s="209"/>
      <c r="M962" s="5"/>
      <c r="T962" s="109"/>
      <c r="U962" s="7"/>
    </row>
    <row r="963" s="2" customFormat="true" ht="15" hidden="false" customHeight="false" outlineLevel="0" collapsed="false">
      <c r="I963" s="5"/>
      <c r="J963" s="211"/>
      <c r="K963" s="5"/>
      <c r="L963" s="5"/>
      <c r="M963" s="5"/>
      <c r="T963" s="109"/>
      <c r="U963" s="7"/>
    </row>
    <row r="964" s="2" customFormat="true" ht="15" hidden="false" customHeight="false" outlineLevel="0" collapsed="false">
      <c r="I964" s="209"/>
      <c r="J964" s="210"/>
      <c r="K964" s="209"/>
      <c r="L964" s="209"/>
      <c r="M964" s="5"/>
      <c r="T964" s="109"/>
      <c r="U964" s="7"/>
    </row>
    <row r="965" s="2" customFormat="true" ht="15" hidden="false" customHeight="false" outlineLevel="0" collapsed="false">
      <c r="I965" s="5"/>
      <c r="J965" s="211"/>
      <c r="K965" s="5"/>
      <c r="L965" s="5"/>
      <c r="M965" s="5"/>
      <c r="T965" s="109"/>
      <c r="U965" s="7"/>
    </row>
    <row r="966" s="2" customFormat="true" ht="15" hidden="false" customHeight="false" outlineLevel="0" collapsed="false">
      <c r="I966" s="209"/>
      <c r="J966" s="210"/>
      <c r="K966" s="209"/>
      <c r="L966" s="209"/>
      <c r="M966" s="5"/>
      <c r="T966" s="109"/>
      <c r="U966" s="7"/>
    </row>
    <row r="967" s="2" customFormat="true" ht="15" hidden="false" customHeight="false" outlineLevel="0" collapsed="false">
      <c r="I967" s="5"/>
      <c r="J967" s="211"/>
      <c r="K967" s="5"/>
      <c r="L967" s="5"/>
      <c r="M967" s="5"/>
      <c r="T967" s="109"/>
      <c r="U967" s="7"/>
    </row>
    <row r="968" s="2" customFormat="true" ht="15" hidden="false" customHeight="false" outlineLevel="0" collapsed="false">
      <c r="I968" s="209"/>
      <c r="J968" s="210"/>
      <c r="K968" s="209"/>
      <c r="L968" s="209"/>
      <c r="M968" s="5"/>
      <c r="T968" s="109"/>
      <c r="U968" s="7"/>
    </row>
    <row r="969" s="2" customFormat="true" ht="15" hidden="false" customHeight="false" outlineLevel="0" collapsed="false">
      <c r="I969" s="5"/>
      <c r="J969" s="211"/>
      <c r="K969" s="5"/>
      <c r="L969" s="5"/>
      <c r="M969" s="5"/>
      <c r="T969" s="109"/>
      <c r="U969" s="7"/>
    </row>
    <row r="970" s="2" customFormat="true" ht="15" hidden="false" customHeight="false" outlineLevel="0" collapsed="false">
      <c r="I970" s="209"/>
      <c r="J970" s="210"/>
      <c r="K970" s="209"/>
      <c r="L970" s="209"/>
      <c r="M970" s="5"/>
      <c r="T970" s="109"/>
      <c r="U970" s="7"/>
    </row>
    <row r="971" s="2" customFormat="true" ht="15" hidden="false" customHeight="false" outlineLevel="0" collapsed="false">
      <c r="I971" s="5"/>
      <c r="J971" s="211"/>
      <c r="K971" s="5"/>
      <c r="L971" s="5"/>
      <c r="M971" s="5"/>
      <c r="T971" s="109"/>
      <c r="U971" s="7"/>
    </row>
    <row r="972" s="2" customFormat="true" ht="15" hidden="false" customHeight="false" outlineLevel="0" collapsed="false">
      <c r="I972" s="209"/>
      <c r="J972" s="210"/>
      <c r="K972" s="209"/>
      <c r="L972" s="209"/>
      <c r="M972" s="5"/>
      <c r="T972" s="109"/>
      <c r="U972" s="7"/>
    </row>
    <row r="973" s="2" customFormat="true" ht="15" hidden="false" customHeight="false" outlineLevel="0" collapsed="false">
      <c r="I973" s="5"/>
      <c r="J973" s="211"/>
      <c r="K973" s="5"/>
      <c r="L973" s="5"/>
      <c r="M973" s="5"/>
      <c r="T973" s="109"/>
      <c r="U973" s="7"/>
    </row>
    <row r="974" s="2" customFormat="true" ht="15" hidden="false" customHeight="false" outlineLevel="0" collapsed="false">
      <c r="I974" s="209"/>
      <c r="J974" s="210"/>
      <c r="K974" s="209"/>
      <c r="L974" s="209"/>
      <c r="M974" s="5"/>
      <c r="T974" s="109"/>
      <c r="U974" s="7"/>
    </row>
    <row r="975" s="2" customFormat="true" ht="15" hidden="false" customHeight="false" outlineLevel="0" collapsed="false">
      <c r="I975" s="5"/>
      <c r="J975" s="211"/>
      <c r="K975" s="5"/>
      <c r="L975" s="5"/>
      <c r="M975" s="5"/>
      <c r="T975" s="109"/>
      <c r="U975" s="7"/>
    </row>
    <row r="976" s="2" customFormat="true" ht="15" hidden="false" customHeight="false" outlineLevel="0" collapsed="false">
      <c r="I976" s="209"/>
      <c r="J976" s="210"/>
      <c r="K976" s="209"/>
      <c r="L976" s="209"/>
      <c r="M976" s="5"/>
      <c r="T976" s="109"/>
      <c r="U976" s="7"/>
    </row>
    <row r="977" s="2" customFormat="true" ht="15" hidden="false" customHeight="false" outlineLevel="0" collapsed="false">
      <c r="I977" s="5"/>
      <c r="J977" s="211"/>
      <c r="K977" s="5"/>
      <c r="L977" s="5"/>
      <c r="M977" s="5"/>
      <c r="T977" s="109"/>
      <c r="U977" s="7"/>
    </row>
    <row r="978" s="2" customFormat="true" ht="15" hidden="false" customHeight="false" outlineLevel="0" collapsed="false">
      <c r="I978" s="209"/>
      <c r="J978" s="210"/>
      <c r="K978" s="209"/>
      <c r="L978" s="209"/>
      <c r="M978" s="5"/>
      <c r="T978" s="109"/>
      <c r="U978" s="7"/>
    </row>
    <row r="979" s="2" customFormat="true" ht="15" hidden="false" customHeight="false" outlineLevel="0" collapsed="false">
      <c r="I979" s="5"/>
      <c r="J979" s="211"/>
      <c r="K979" s="5"/>
      <c r="L979" s="5"/>
      <c r="M979" s="5"/>
      <c r="T979" s="109"/>
      <c r="U979" s="7"/>
    </row>
    <row r="980" s="2" customFormat="true" ht="15" hidden="false" customHeight="false" outlineLevel="0" collapsed="false">
      <c r="I980" s="209"/>
      <c r="J980" s="210"/>
      <c r="K980" s="209"/>
      <c r="L980" s="209"/>
      <c r="M980" s="5"/>
      <c r="T980" s="109"/>
      <c r="U980" s="7"/>
    </row>
    <row r="981" s="2" customFormat="true" ht="15" hidden="false" customHeight="false" outlineLevel="0" collapsed="false">
      <c r="I981" s="5"/>
      <c r="J981" s="211"/>
      <c r="K981" s="5"/>
      <c r="L981" s="5"/>
      <c r="M981" s="5"/>
      <c r="T981" s="109"/>
      <c r="U981" s="7"/>
    </row>
    <row r="982" s="2" customFormat="true" ht="15" hidden="false" customHeight="false" outlineLevel="0" collapsed="false">
      <c r="I982" s="209"/>
      <c r="J982" s="210"/>
      <c r="K982" s="209"/>
      <c r="L982" s="209"/>
      <c r="M982" s="5"/>
      <c r="T982" s="109"/>
      <c r="U982" s="7"/>
    </row>
    <row r="983" s="2" customFormat="true" ht="15" hidden="false" customHeight="false" outlineLevel="0" collapsed="false">
      <c r="I983" s="5"/>
      <c r="J983" s="211"/>
      <c r="K983" s="5"/>
      <c r="L983" s="5"/>
      <c r="M983" s="5"/>
      <c r="T983" s="109"/>
      <c r="U983" s="7"/>
    </row>
    <row r="984" s="2" customFormat="true" ht="15" hidden="false" customHeight="false" outlineLevel="0" collapsed="false">
      <c r="I984" s="209"/>
      <c r="J984" s="210"/>
      <c r="K984" s="209"/>
      <c r="L984" s="209"/>
      <c r="M984" s="5"/>
      <c r="T984" s="109"/>
      <c r="U984" s="7"/>
    </row>
    <row r="985" s="2" customFormat="true" ht="15" hidden="false" customHeight="false" outlineLevel="0" collapsed="false">
      <c r="I985" s="5"/>
      <c r="J985" s="211"/>
      <c r="K985" s="5"/>
      <c r="L985" s="5"/>
      <c r="M985" s="5"/>
      <c r="T985" s="109"/>
      <c r="U985" s="7"/>
    </row>
    <row r="986" s="2" customFormat="true" ht="15" hidden="false" customHeight="false" outlineLevel="0" collapsed="false">
      <c r="I986" s="209"/>
      <c r="J986" s="210"/>
      <c r="K986" s="209"/>
      <c r="L986" s="209"/>
      <c r="M986" s="5"/>
      <c r="T986" s="109"/>
      <c r="U986" s="7"/>
    </row>
    <row r="987" s="2" customFormat="true" ht="15" hidden="false" customHeight="false" outlineLevel="0" collapsed="false">
      <c r="I987" s="5"/>
      <c r="J987" s="211"/>
      <c r="K987" s="5"/>
      <c r="L987" s="5"/>
      <c r="M987" s="5"/>
      <c r="T987" s="109"/>
      <c r="U987" s="7"/>
    </row>
    <row r="988" s="2" customFormat="true" ht="15" hidden="false" customHeight="false" outlineLevel="0" collapsed="false">
      <c r="I988" s="209"/>
      <c r="J988" s="210"/>
      <c r="K988" s="209"/>
      <c r="L988" s="209"/>
      <c r="M988" s="5"/>
      <c r="T988" s="109"/>
      <c r="U988" s="7"/>
    </row>
    <row r="989" s="2" customFormat="true" ht="15" hidden="false" customHeight="false" outlineLevel="0" collapsed="false">
      <c r="I989" s="7"/>
      <c r="J989" s="5"/>
      <c r="K989" s="5"/>
      <c r="L989" s="5"/>
      <c r="M989" s="5"/>
      <c r="T989" s="109"/>
      <c r="U989" s="7"/>
    </row>
    <row r="990" s="2" customFormat="true" ht="15" hidden="false" customHeight="false" outlineLevel="0" collapsed="false">
      <c r="I990" s="7"/>
      <c r="J990" s="5"/>
      <c r="K990" s="5"/>
      <c r="L990" s="5"/>
      <c r="M990" s="5"/>
      <c r="T990" s="109"/>
      <c r="U990" s="7"/>
    </row>
    <row r="991" s="2" customFormat="true" ht="15" hidden="false" customHeight="false" outlineLevel="0" collapsed="false">
      <c r="I991" s="7"/>
      <c r="J991" s="5"/>
      <c r="K991" s="5"/>
      <c r="L991" s="5"/>
      <c r="M991" s="5"/>
      <c r="T991" s="109"/>
      <c r="U991" s="7"/>
    </row>
    <row r="992" s="2" customFormat="true" ht="15" hidden="false" customHeight="false" outlineLevel="0" collapsed="false">
      <c r="I992" s="7"/>
      <c r="J992" s="5"/>
      <c r="K992" s="5"/>
      <c r="L992" s="5"/>
      <c r="M992" s="5"/>
      <c r="T992" s="109"/>
      <c r="U992" s="7"/>
    </row>
    <row r="993" s="2" customFormat="true" ht="15" hidden="false" customHeight="false" outlineLevel="0" collapsed="false">
      <c r="I993" s="7"/>
      <c r="J993" s="5"/>
      <c r="K993" s="5"/>
      <c r="L993" s="5"/>
      <c r="M993" s="5"/>
      <c r="T993" s="109"/>
      <c r="U993" s="7"/>
    </row>
    <row r="994" s="2" customFormat="true" ht="15" hidden="false" customHeight="false" outlineLevel="0" collapsed="false">
      <c r="I994" s="7"/>
      <c r="J994" s="5"/>
      <c r="K994" s="5"/>
      <c r="L994" s="5"/>
      <c r="M994" s="5"/>
      <c r="T994" s="109"/>
      <c r="U994" s="7"/>
    </row>
    <row r="995" s="2" customFormat="true" ht="15" hidden="false" customHeight="false" outlineLevel="0" collapsed="false">
      <c r="I995" s="7"/>
      <c r="J995" s="5"/>
      <c r="K995" s="5"/>
      <c r="L995" s="5"/>
      <c r="M995" s="5"/>
      <c r="T995" s="109"/>
      <c r="U995" s="7"/>
    </row>
    <row r="996" s="2" customFormat="true" ht="15" hidden="false" customHeight="false" outlineLevel="0" collapsed="false">
      <c r="I996" s="7"/>
      <c r="J996" s="5"/>
      <c r="K996" s="5"/>
      <c r="L996" s="5"/>
      <c r="M996" s="5"/>
      <c r="T996" s="109"/>
      <c r="U996" s="7"/>
    </row>
    <row r="997" s="2" customFormat="true" ht="15" hidden="false" customHeight="false" outlineLevel="0" collapsed="false">
      <c r="I997" s="7"/>
      <c r="J997" s="5"/>
      <c r="K997" s="5"/>
      <c r="L997" s="5"/>
      <c r="M997" s="5"/>
      <c r="T997" s="109"/>
      <c r="U997" s="7"/>
    </row>
    <row r="998" s="2" customFormat="true" ht="15" hidden="false" customHeight="false" outlineLevel="0" collapsed="false">
      <c r="I998" s="7"/>
      <c r="J998" s="5"/>
      <c r="K998" s="5"/>
      <c r="L998" s="5"/>
      <c r="M998" s="5"/>
      <c r="T998" s="109"/>
      <c r="U998" s="7"/>
    </row>
    <row r="999" s="2" customFormat="true" ht="15" hidden="false" customHeight="false" outlineLevel="0" collapsed="false">
      <c r="I999" s="7"/>
      <c r="J999" s="5"/>
      <c r="K999" s="5"/>
      <c r="L999" s="5"/>
      <c r="M999" s="5"/>
      <c r="T999" s="109"/>
      <c r="U999" s="7"/>
    </row>
    <row r="1000" s="2" customFormat="true" ht="15" hidden="false" customHeight="false" outlineLevel="0" collapsed="false">
      <c r="I1000" s="7"/>
      <c r="J1000" s="5"/>
      <c r="K1000" s="5"/>
      <c r="L1000" s="5"/>
      <c r="M1000" s="5"/>
      <c r="T1000" s="109"/>
      <c r="U1000" s="7"/>
    </row>
    <row r="1001" s="2" customFormat="true" ht="15" hidden="false" customHeight="false" outlineLevel="0" collapsed="false">
      <c r="I1001" s="7"/>
      <c r="J1001" s="5"/>
      <c r="K1001" s="5"/>
      <c r="L1001" s="5"/>
      <c r="M1001" s="5"/>
      <c r="T1001" s="109"/>
      <c r="U1001" s="7"/>
    </row>
    <row r="1002" s="2" customFormat="true" ht="15" hidden="false" customHeight="false" outlineLevel="0" collapsed="false">
      <c r="I1002" s="7"/>
      <c r="J1002" s="5"/>
      <c r="K1002" s="5"/>
      <c r="L1002" s="5"/>
      <c r="M1002" s="5"/>
      <c r="T1002" s="109"/>
      <c r="U1002" s="7"/>
    </row>
    <row r="1003" s="2" customFormat="true" ht="15" hidden="false" customHeight="false" outlineLevel="0" collapsed="false">
      <c r="I1003" s="7"/>
      <c r="J1003" s="5"/>
      <c r="K1003" s="5"/>
      <c r="L1003" s="5"/>
      <c r="M1003" s="5"/>
      <c r="T1003" s="109"/>
      <c r="U1003" s="7"/>
    </row>
    <row r="1004" s="2" customFormat="true" ht="15" hidden="false" customHeight="false" outlineLevel="0" collapsed="false">
      <c r="I1004" s="7"/>
      <c r="J1004" s="5"/>
      <c r="K1004" s="5"/>
      <c r="L1004" s="5"/>
      <c r="M1004" s="5"/>
      <c r="T1004" s="109"/>
      <c r="U1004" s="7"/>
    </row>
    <row r="1005" s="2" customFormat="true" ht="15" hidden="false" customHeight="false" outlineLevel="0" collapsed="false">
      <c r="I1005" s="7"/>
      <c r="J1005" s="5"/>
      <c r="K1005" s="5"/>
      <c r="L1005" s="5"/>
      <c r="M1005" s="5"/>
      <c r="T1005" s="109"/>
      <c r="U1005" s="7"/>
    </row>
    <row r="1006" s="2" customFormat="true" ht="15" hidden="false" customHeight="false" outlineLevel="0" collapsed="false">
      <c r="I1006" s="7"/>
      <c r="J1006" s="5"/>
      <c r="K1006" s="5"/>
      <c r="L1006" s="5"/>
      <c r="M1006" s="5"/>
      <c r="T1006" s="109"/>
      <c r="U1006" s="7"/>
    </row>
    <row r="1007" s="2" customFormat="true" ht="15" hidden="false" customHeight="false" outlineLevel="0" collapsed="false">
      <c r="I1007" s="7"/>
      <c r="J1007" s="5"/>
      <c r="K1007" s="5"/>
      <c r="L1007" s="5"/>
      <c r="M1007" s="5"/>
      <c r="T1007" s="109"/>
      <c r="U1007" s="7"/>
    </row>
    <row r="1008" s="2" customFormat="true" ht="15" hidden="false" customHeight="false" outlineLevel="0" collapsed="false">
      <c r="I1008" s="7"/>
      <c r="J1008" s="5"/>
      <c r="K1008" s="5"/>
      <c r="L1008" s="5"/>
      <c r="M1008" s="5"/>
      <c r="T1008" s="109"/>
      <c r="U1008" s="7"/>
    </row>
    <row r="1009" s="2" customFormat="true" ht="15" hidden="false" customHeight="false" outlineLevel="0" collapsed="false">
      <c r="I1009" s="7"/>
      <c r="J1009" s="5"/>
      <c r="K1009" s="5"/>
      <c r="L1009" s="5"/>
      <c r="M1009" s="5"/>
      <c r="T1009" s="109"/>
      <c r="U1009" s="7"/>
    </row>
    <row r="1010" s="2" customFormat="true" ht="15" hidden="false" customHeight="false" outlineLevel="0" collapsed="false">
      <c r="I1010" s="7"/>
      <c r="J1010" s="5"/>
      <c r="K1010" s="5"/>
      <c r="L1010" s="5"/>
      <c r="M1010" s="5"/>
      <c r="T1010" s="109"/>
      <c r="U1010" s="7"/>
    </row>
    <row r="1011" s="2" customFormat="true" ht="15" hidden="false" customHeight="false" outlineLevel="0" collapsed="false">
      <c r="I1011" s="7"/>
      <c r="J1011" s="5"/>
      <c r="K1011" s="5"/>
      <c r="L1011" s="5"/>
      <c r="M1011" s="5"/>
      <c r="T1011" s="109"/>
      <c r="U1011" s="7"/>
    </row>
    <row r="1012" s="2" customFormat="true" ht="15" hidden="false" customHeight="false" outlineLevel="0" collapsed="false">
      <c r="I1012" s="7"/>
      <c r="J1012" s="5"/>
      <c r="K1012" s="5"/>
      <c r="L1012" s="5"/>
      <c r="M1012" s="5"/>
      <c r="T1012" s="109"/>
      <c r="U1012" s="7"/>
    </row>
    <row r="1013" s="2" customFormat="true" ht="15" hidden="false" customHeight="false" outlineLevel="0" collapsed="false">
      <c r="I1013" s="7"/>
      <c r="J1013" s="5"/>
      <c r="K1013" s="5"/>
      <c r="L1013" s="5"/>
      <c r="M1013" s="5"/>
      <c r="T1013" s="109"/>
      <c r="U1013" s="7"/>
    </row>
    <row r="1014" s="2" customFormat="true" ht="15" hidden="false" customHeight="false" outlineLevel="0" collapsed="false">
      <c r="I1014" s="7"/>
      <c r="J1014" s="5"/>
      <c r="K1014" s="5"/>
      <c r="L1014" s="5"/>
      <c r="M1014" s="5"/>
      <c r="T1014" s="109"/>
      <c r="U1014" s="7"/>
    </row>
    <row r="1015" s="2" customFormat="true" ht="15" hidden="false" customHeight="false" outlineLevel="0" collapsed="false">
      <c r="I1015" s="7"/>
      <c r="J1015" s="5"/>
      <c r="K1015" s="5"/>
      <c r="L1015" s="5"/>
      <c r="M1015" s="5"/>
      <c r="T1015" s="109"/>
      <c r="U1015" s="7"/>
    </row>
    <row r="1016" s="2" customFormat="true" ht="15" hidden="false" customHeight="false" outlineLevel="0" collapsed="false">
      <c r="I1016" s="7"/>
      <c r="J1016" s="5"/>
      <c r="K1016" s="5"/>
      <c r="L1016" s="5"/>
      <c r="M1016" s="5"/>
      <c r="T1016" s="109"/>
      <c r="U1016" s="7"/>
    </row>
    <row r="1017" s="2" customFormat="true" ht="15" hidden="false" customHeight="false" outlineLevel="0" collapsed="false">
      <c r="I1017" s="7"/>
      <c r="J1017" s="5"/>
      <c r="K1017" s="5"/>
      <c r="L1017" s="5"/>
      <c r="M1017" s="5"/>
      <c r="T1017" s="109"/>
      <c r="U1017" s="7"/>
    </row>
    <row r="1018" s="2" customFormat="true" ht="15" hidden="false" customHeight="false" outlineLevel="0" collapsed="false">
      <c r="I1018" s="7"/>
      <c r="J1018" s="5"/>
      <c r="K1018" s="5"/>
      <c r="L1018" s="5"/>
      <c r="M1018" s="5"/>
      <c r="T1018" s="109"/>
      <c r="U1018" s="7"/>
    </row>
    <row r="1019" s="2" customFormat="true" ht="15" hidden="false" customHeight="false" outlineLevel="0" collapsed="false">
      <c r="I1019" s="7"/>
      <c r="J1019" s="5"/>
      <c r="K1019" s="5"/>
      <c r="L1019" s="5"/>
      <c r="M1019" s="5"/>
      <c r="T1019" s="109"/>
      <c r="U1019" s="7"/>
    </row>
    <row r="1020" s="2" customFormat="true" ht="15" hidden="false" customHeight="false" outlineLevel="0" collapsed="false">
      <c r="I1020" s="7"/>
      <c r="J1020" s="5"/>
      <c r="K1020" s="5"/>
      <c r="L1020" s="5"/>
      <c r="M1020" s="5"/>
      <c r="T1020" s="109"/>
      <c r="U1020" s="7"/>
    </row>
    <row r="1021" s="2" customFormat="true" ht="15" hidden="false" customHeight="false" outlineLevel="0" collapsed="false">
      <c r="I1021" s="7"/>
      <c r="J1021" s="5"/>
      <c r="K1021" s="5"/>
      <c r="L1021" s="5"/>
      <c r="M1021" s="5"/>
      <c r="T1021" s="109"/>
      <c r="U1021" s="7"/>
    </row>
    <row r="1022" s="2" customFormat="true" ht="15" hidden="false" customHeight="false" outlineLevel="0" collapsed="false">
      <c r="I1022" s="7"/>
      <c r="J1022" s="5"/>
      <c r="K1022" s="5"/>
      <c r="L1022" s="5"/>
      <c r="M1022" s="5"/>
      <c r="T1022" s="109"/>
      <c r="U1022" s="7"/>
    </row>
    <row r="1023" s="2" customFormat="true" ht="15" hidden="false" customHeight="false" outlineLevel="0" collapsed="false">
      <c r="I1023" s="7"/>
      <c r="J1023" s="5"/>
      <c r="K1023" s="5"/>
      <c r="L1023" s="5"/>
      <c r="M1023" s="5"/>
      <c r="T1023" s="109"/>
      <c r="U1023" s="7"/>
    </row>
    <row r="1024" s="2" customFormat="true" ht="15" hidden="false" customHeight="false" outlineLevel="0" collapsed="false">
      <c r="I1024" s="7"/>
      <c r="J1024" s="5"/>
      <c r="K1024" s="5"/>
      <c r="L1024" s="5"/>
      <c r="M1024" s="5"/>
      <c r="T1024" s="109"/>
      <c r="U1024" s="7"/>
    </row>
    <row r="1025" s="2" customFormat="true" ht="15" hidden="false" customHeight="false" outlineLevel="0" collapsed="false">
      <c r="I1025" s="7"/>
      <c r="J1025" s="5"/>
      <c r="K1025" s="5"/>
      <c r="L1025" s="5"/>
      <c r="M1025" s="5"/>
      <c r="T1025" s="109"/>
      <c r="U1025" s="7"/>
    </row>
    <row r="1026" s="2" customFormat="true" ht="15" hidden="false" customHeight="false" outlineLevel="0" collapsed="false">
      <c r="I1026" s="7"/>
      <c r="J1026" s="5"/>
      <c r="K1026" s="5"/>
      <c r="L1026" s="5"/>
      <c r="M1026" s="5"/>
      <c r="T1026" s="109"/>
      <c r="U1026" s="7"/>
    </row>
    <row r="1027" s="2" customFormat="true" ht="15" hidden="false" customHeight="false" outlineLevel="0" collapsed="false">
      <c r="I1027" s="7"/>
      <c r="J1027" s="5"/>
      <c r="K1027" s="5"/>
      <c r="L1027" s="5"/>
      <c r="M1027" s="5"/>
      <c r="T1027" s="109"/>
      <c r="U1027" s="7"/>
    </row>
    <row r="1028" s="2" customFormat="true" ht="15" hidden="false" customHeight="false" outlineLevel="0" collapsed="false">
      <c r="I1028" s="7"/>
      <c r="J1028" s="5"/>
      <c r="K1028" s="5"/>
      <c r="L1028" s="5"/>
      <c r="M1028" s="5"/>
      <c r="T1028" s="109"/>
      <c r="U1028" s="7"/>
    </row>
    <row r="1029" s="2" customFormat="true" ht="15" hidden="false" customHeight="false" outlineLevel="0" collapsed="false">
      <c r="I1029" s="7"/>
      <c r="J1029" s="5"/>
      <c r="K1029" s="5"/>
      <c r="L1029" s="5"/>
      <c r="M1029" s="5"/>
      <c r="T1029" s="109"/>
      <c r="U1029" s="7"/>
    </row>
    <row r="1030" s="2" customFormat="true" ht="15" hidden="false" customHeight="false" outlineLevel="0" collapsed="false">
      <c r="I1030" s="7"/>
      <c r="J1030" s="5"/>
      <c r="K1030" s="5"/>
      <c r="L1030" s="5"/>
      <c r="M1030" s="5"/>
      <c r="T1030" s="109"/>
      <c r="U1030" s="7"/>
    </row>
    <row r="1031" s="2" customFormat="true" ht="15" hidden="false" customHeight="false" outlineLevel="0" collapsed="false">
      <c r="I1031" s="7"/>
      <c r="J1031" s="5"/>
      <c r="K1031" s="5"/>
      <c r="L1031" s="5"/>
      <c r="M1031" s="5"/>
      <c r="T1031" s="109"/>
      <c r="U1031" s="7"/>
    </row>
    <row r="1032" s="2" customFormat="true" ht="15" hidden="false" customHeight="false" outlineLevel="0" collapsed="false">
      <c r="I1032" s="7"/>
      <c r="J1032" s="5"/>
      <c r="K1032" s="5"/>
      <c r="L1032" s="5"/>
      <c r="M1032" s="5"/>
      <c r="T1032" s="109"/>
      <c r="U1032" s="7"/>
    </row>
    <row r="1033" s="2" customFormat="true" ht="15" hidden="false" customHeight="false" outlineLevel="0" collapsed="false">
      <c r="I1033" s="7"/>
      <c r="J1033" s="5"/>
      <c r="K1033" s="5"/>
      <c r="L1033" s="5"/>
      <c r="M1033" s="5"/>
      <c r="T1033" s="109"/>
      <c r="U1033" s="7"/>
    </row>
    <row r="1034" s="2" customFormat="true" ht="15" hidden="false" customHeight="false" outlineLevel="0" collapsed="false">
      <c r="I1034" s="7"/>
      <c r="J1034" s="5"/>
      <c r="K1034" s="5"/>
      <c r="L1034" s="5"/>
      <c r="M1034" s="5"/>
      <c r="T1034" s="109"/>
      <c r="U1034" s="7"/>
    </row>
    <row r="1035" s="2" customFormat="true" ht="15" hidden="false" customHeight="false" outlineLevel="0" collapsed="false">
      <c r="I1035" s="7"/>
      <c r="J1035" s="5"/>
      <c r="K1035" s="5"/>
      <c r="L1035" s="5"/>
      <c r="M1035" s="5"/>
      <c r="T1035" s="109"/>
      <c r="U1035" s="7"/>
    </row>
    <row r="1036" s="2" customFormat="true" ht="15" hidden="false" customHeight="false" outlineLevel="0" collapsed="false">
      <c r="I1036" s="7"/>
      <c r="J1036" s="5"/>
      <c r="K1036" s="5"/>
      <c r="L1036" s="5"/>
      <c r="M1036" s="5"/>
      <c r="T1036" s="109"/>
      <c r="U1036" s="7"/>
    </row>
    <row r="1037" s="2" customFormat="true" ht="15" hidden="false" customHeight="false" outlineLevel="0" collapsed="false">
      <c r="I1037" s="7"/>
      <c r="J1037" s="5"/>
      <c r="K1037" s="5"/>
      <c r="L1037" s="5"/>
      <c r="M1037" s="5"/>
      <c r="T1037" s="109"/>
      <c r="U1037" s="7"/>
    </row>
    <row r="1038" s="2" customFormat="true" ht="15" hidden="false" customHeight="false" outlineLevel="0" collapsed="false">
      <c r="I1038" s="7"/>
      <c r="J1038" s="5"/>
      <c r="K1038" s="5"/>
      <c r="L1038" s="5"/>
      <c r="M1038" s="5"/>
      <c r="T1038" s="109"/>
      <c r="U1038" s="7"/>
    </row>
    <row r="1039" s="2" customFormat="true" ht="15" hidden="false" customHeight="false" outlineLevel="0" collapsed="false">
      <c r="I1039" s="7"/>
      <c r="J1039" s="5"/>
      <c r="K1039" s="5"/>
      <c r="L1039" s="5"/>
      <c r="M1039" s="5"/>
      <c r="T1039" s="109"/>
      <c r="U1039" s="7"/>
    </row>
    <row r="1040" s="2" customFormat="true" ht="15" hidden="false" customHeight="false" outlineLevel="0" collapsed="false">
      <c r="I1040" s="7"/>
      <c r="J1040" s="5"/>
      <c r="K1040" s="5"/>
      <c r="L1040" s="5"/>
      <c r="M1040" s="5"/>
      <c r="T1040" s="109"/>
      <c r="U1040" s="7"/>
    </row>
    <row r="1041" s="2" customFormat="true" ht="15" hidden="false" customHeight="false" outlineLevel="0" collapsed="false">
      <c r="I1041" s="7"/>
      <c r="J1041" s="5"/>
      <c r="K1041" s="5"/>
      <c r="L1041" s="5"/>
      <c r="M1041" s="5"/>
      <c r="T1041" s="109"/>
      <c r="U1041" s="7"/>
    </row>
    <row r="1042" s="2" customFormat="true" ht="15" hidden="false" customHeight="false" outlineLevel="0" collapsed="false">
      <c r="I1042" s="7"/>
      <c r="J1042" s="5"/>
      <c r="K1042" s="5"/>
      <c r="L1042" s="5"/>
      <c r="M1042" s="5"/>
      <c r="T1042" s="109"/>
      <c r="U1042" s="7"/>
    </row>
    <row r="1043" s="2" customFormat="true" ht="15" hidden="false" customHeight="false" outlineLevel="0" collapsed="false">
      <c r="I1043" s="7"/>
      <c r="J1043" s="5"/>
      <c r="K1043" s="5"/>
      <c r="L1043" s="5"/>
      <c r="M1043" s="5"/>
      <c r="T1043" s="109"/>
      <c r="U1043" s="7"/>
    </row>
    <row r="1044" s="2" customFormat="true" ht="15" hidden="false" customHeight="false" outlineLevel="0" collapsed="false">
      <c r="I1044" s="7"/>
      <c r="J1044" s="5"/>
      <c r="K1044" s="5"/>
      <c r="L1044" s="5"/>
      <c r="M1044" s="5"/>
      <c r="T1044" s="109"/>
      <c r="U1044" s="7"/>
    </row>
    <row r="1045" s="2" customFormat="true" ht="15" hidden="false" customHeight="false" outlineLevel="0" collapsed="false">
      <c r="I1045" s="7"/>
      <c r="J1045" s="5"/>
      <c r="K1045" s="5"/>
      <c r="L1045" s="5"/>
      <c r="M1045" s="5"/>
      <c r="T1045" s="109"/>
      <c r="U1045" s="7"/>
    </row>
    <row r="1046" s="2" customFormat="true" ht="15" hidden="false" customHeight="false" outlineLevel="0" collapsed="false">
      <c r="I1046" s="7"/>
      <c r="J1046" s="5"/>
      <c r="K1046" s="5"/>
      <c r="L1046" s="5"/>
      <c r="M1046" s="5"/>
      <c r="T1046" s="109"/>
      <c r="U1046" s="7"/>
    </row>
    <row r="1047" s="2" customFormat="true" ht="15" hidden="false" customHeight="false" outlineLevel="0" collapsed="false">
      <c r="I1047" s="7"/>
      <c r="J1047" s="5"/>
      <c r="K1047" s="5"/>
      <c r="L1047" s="5"/>
      <c r="M1047" s="5"/>
      <c r="T1047" s="109"/>
      <c r="U1047" s="7"/>
    </row>
    <row r="1048" s="2" customFormat="true" ht="15" hidden="false" customHeight="false" outlineLevel="0" collapsed="false">
      <c r="I1048" s="7"/>
      <c r="J1048" s="5"/>
      <c r="K1048" s="5"/>
      <c r="L1048" s="5"/>
      <c r="M1048" s="5"/>
      <c r="T1048" s="109"/>
      <c r="U1048" s="7"/>
    </row>
    <row r="1049" s="2" customFormat="true" ht="15" hidden="false" customHeight="false" outlineLevel="0" collapsed="false">
      <c r="I1049" s="7"/>
      <c r="J1049" s="5"/>
      <c r="K1049" s="5"/>
      <c r="L1049" s="5"/>
      <c r="M1049" s="5"/>
      <c r="T1049" s="109"/>
      <c r="U1049" s="7"/>
    </row>
    <row r="1050" s="2" customFormat="true" ht="15" hidden="false" customHeight="false" outlineLevel="0" collapsed="false">
      <c r="I1050" s="7"/>
      <c r="J1050" s="5"/>
      <c r="K1050" s="5"/>
      <c r="L1050" s="5"/>
      <c r="M1050" s="5"/>
      <c r="T1050" s="109"/>
      <c r="U1050" s="7"/>
    </row>
    <row r="1051" s="2" customFormat="true" ht="15" hidden="false" customHeight="false" outlineLevel="0" collapsed="false">
      <c r="I1051" s="7"/>
      <c r="J1051" s="5"/>
      <c r="K1051" s="5"/>
      <c r="L1051" s="5"/>
      <c r="M1051" s="5"/>
      <c r="T1051" s="109"/>
      <c r="U1051" s="7"/>
    </row>
    <row r="1052" s="2" customFormat="true" ht="15" hidden="false" customHeight="false" outlineLevel="0" collapsed="false">
      <c r="I1052" s="7"/>
      <c r="J1052" s="5"/>
      <c r="K1052" s="5"/>
      <c r="L1052" s="5"/>
      <c r="M1052" s="5"/>
      <c r="T1052" s="109"/>
      <c r="U1052" s="7"/>
    </row>
    <row r="1053" s="2" customFormat="true" ht="15" hidden="false" customHeight="false" outlineLevel="0" collapsed="false">
      <c r="I1053" s="7"/>
      <c r="J1053" s="5"/>
      <c r="K1053" s="5"/>
      <c r="L1053" s="5"/>
      <c r="M1053" s="5"/>
      <c r="T1053" s="109"/>
      <c r="U1053" s="7"/>
    </row>
    <row r="1054" s="2" customFormat="true" ht="15" hidden="false" customHeight="false" outlineLevel="0" collapsed="false">
      <c r="I1054" s="7"/>
      <c r="J1054" s="5"/>
      <c r="K1054" s="5"/>
      <c r="L1054" s="5"/>
      <c r="M1054" s="5"/>
      <c r="T1054" s="109"/>
      <c r="U1054" s="7"/>
    </row>
    <row r="1055" s="2" customFormat="true" ht="15" hidden="false" customHeight="false" outlineLevel="0" collapsed="false">
      <c r="I1055" s="7"/>
      <c r="J1055" s="5"/>
      <c r="K1055" s="5"/>
      <c r="L1055" s="5"/>
      <c r="M1055" s="5"/>
      <c r="T1055" s="109"/>
      <c r="U1055" s="7"/>
    </row>
    <row r="1056" s="2" customFormat="true" ht="15" hidden="false" customHeight="false" outlineLevel="0" collapsed="false">
      <c r="I1056" s="7"/>
      <c r="J1056" s="5"/>
      <c r="K1056" s="5"/>
      <c r="L1056" s="5"/>
      <c r="M1056" s="5"/>
      <c r="T1056" s="109"/>
      <c r="U1056" s="7"/>
    </row>
    <row r="1057" s="2" customFormat="true" ht="15" hidden="false" customHeight="false" outlineLevel="0" collapsed="false">
      <c r="I1057" s="7"/>
      <c r="J1057" s="5"/>
      <c r="K1057" s="5"/>
      <c r="L1057" s="5"/>
      <c r="M1057" s="5"/>
      <c r="T1057" s="109"/>
      <c r="U1057" s="7"/>
    </row>
    <row r="1058" s="2" customFormat="true" ht="15" hidden="false" customHeight="false" outlineLevel="0" collapsed="false">
      <c r="I1058" s="7"/>
      <c r="J1058" s="5"/>
      <c r="K1058" s="5"/>
      <c r="L1058" s="5"/>
      <c r="M1058" s="5"/>
      <c r="T1058" s="109"/>
      <c r="U1058" s="7"/>
    </row>
    <row r="1059" s="2" customFormat="true" ht="15" hidden="false" customHeight="false" outlineLevel="0" collapsed="false">
      <c r="I1059" s="7"/>
      <c r="J1059" s="5"/>
      <c r="K1059" s="5"/>
      <c r="L1059" s="5"/>
      <c r="M1059" s="5"/>
      <c r="T1059" s="109"/>
      <c r="U1059" s="7"/>
    </row>
    <row r="1060" s="2" customFormat="true" ht="15" hidden="false" customHeight="false" outlineLevel="0" collapsed="false">
      <c r="I1060" s="7"/>
      <c r="J1060" s="5"/>
      <c r="K1060" s="5"/>
      <c r="L1060" s="5"/>
      <c r="M1060" s="5"/>
      <c r="T1060" s="109"/>
      <c r="U1060" s="7"/>
    </row>
    <row r="1061" s="2" customFormat="true" ht="15" hidden="false" customHeight="false" outlineLevel="0" collapsed="false">
      <c r="I1061" s="7"/>
      <c r="J1061" s="5"/>
      <c r="K1061" s="5"/>
      <c r="L1061" s="5"/>
      <c r="M1061" s="5"/>
      <c r="T1061" s="109"/>
      <c r="U1061" s="7"/>
    </row>
    <row r="1062" s="2" customFormat="true" ht="15" hidden="false" customHeight="false" outlineLevel="0" collapsed="false">
      <c r="I1062" s="7"/>
      <c r="J1062" s="5"/>
      <c r="K1062" s="5"/>
      <c r="L1062" s="5"/>
      <c r="M1062" s="5"/>
      <c r="T1062" s="109"/>
      <c r="U1062" s="7"/>
    </row>
    <row r="1063" s="2" customFormat="true" ht="15" hidden="false" customHeight="false" outlineLevel="0" collapsed="false">
      <c r="I1063" s="7"/>
      <c r="J1063" s="5"/>
      <c r="K1063" s="5"/>
      <c r="L1063" s="5"/>
      <c r="M1063" s="5"/>
      <c r="T1063" s="109"/>
      <c r="U1063" s="7"/>
    </row>
    <row r="1064" s="2" customFormat="true" ht="15" hidden="false" customHeight="false" outlineLevel="0" collapsed="false">
      <c r="I1064" s="7"/>
      <c r="J1064" s="5"/>
      <c r="K1064" s="5"/>
      <c r="L1064" s="5"/>
      <c r="M1064" s="5"/>
      <c r="T1064" s="109"/>
      <c r="U1064" s="7"/>
    </row>
    <row r="1065" s="2" customFormat="true" ht="15" hidden="false" customHeight="false" outlineLevel="0" collapsed="false">
      <c r="I1065" s="7"/>
      <c r="J1065" s="5"/>
      <c r="K1065" s="5"/>
      <c r="L1065" s="5"/>
      <c r="M1065" s="5"/>
      <c r="T1065" s="109"/>
      <c r="U1065" s="7"/>
    </row>
    <row r="1066" s="2" customFormat="true" ht="15" hidden="false" customHeight="false" outlineLevel="0" collapsed="false">
      <c r="I1066" s="7"/>
      <c r="J1066" s="5"/>
      <c r="K1066" s="5"/>
      <c r="L1066" s="5"/>
      <c r="M1066" s="5"/>
      <c r="T1066" s="109"/>
      <c r="U1066" s="7"/>
    </row>
    <row r="1067" s="2" customFormat="true" ht="15" hidden="false" customHeight="false" outlineLevel="0" collapsed="false">
      <c r="I1067" s="7"/>
      <c r="J1067" s="5"/>
      <c r="K1067" s="5"/>
      <c r="L1067" s="5"/>
      <c r="M1067" s="5"/>
      <c r="T1067" s="109"/>
      <c r="U1067" s="7"/>
    </row>
    <row r="1068" s="2" customFormat="true" ht="15" hidden="false" customHeight="false" outlineLevel="0" collapsed="false">
      <c r="I1068" s="7"/>
      <c r="J1068" s="5"/>
      <c r="K1068" s="5"/>
      <c r="L1068" s="5"/>
      <c r="M1068" s="5"/>
      <c r="T1068" s="109"/>
      <c r="U1068" s="7"/>
    </row>
    <row r="1069" s="2" customFormat="true" ht="15" hidden="false" customHeight="false" outlineLevel="0" collapsed="false">
      <c r="I1069" s="7"/>
      <c r="J1069" s="5"/>
      <c r="K1069" s="5"/>
      <c r="L1069" s="5"/>
      <c r="M1069" s="5"/>
      <c r="T1069" s="109"/>
      <c r="U1069" s="7"/>
    </row>
    <row r="1070" s="2" customFormat="true" ht="15" hidden="false" customHeight="false" outlineLevel="0" collapsed="false">
      <c r="I1070" s="7"/>
      <c r="J1070" s="5"/>
      <c r="K1070" s="5"/>
      <c r="L1070" s="5"/>
      <c r="M1070" s="5"/>
      <c r="T1070" s="109"/>
      <c r="U1070" s="7"/>
    </row>
    <row r="1071" s="2" customFormat="true" ht="15" hidden="false" customHeight="false" outlineLevel="0" collapsed="false">
      <c r="I1071" s="7"/>
      <c r="J1071" s="5"/>
      <c r="K1071" s="5"/>
      <c r="L1071" s="5"/>
      <c r="M1071" s="5"/>
      <c r="T1071" s="109"/>
      <c r="U1071" s="7"/>
    </row>
    <row r="1072" s="2" customFormat="true" ht="15" hidden="false" customHeight="false" outlineLevel="0" collapsed="false">
      <c r="I1072" s="7"/>
      <c r="J1072" s="5"/>
      <c r="K1072" s="5"/>
      <c r="L1072" s="5"/>
      <c r="M1072" s="5"/>
      <c r="T1072" s="109"/>
      <c r="U1072" s="7"/>
    </row>
    <row r="1073" s="2" customFormat="true" ht="15" hidden="false" customHeight="false" outlineLevel="0" collapsed="false">
      <c r="I1073" s="7"/>
      <c r="J1073" s="5"/>
      <c r="K1073" s="5"/>
      <c r="L1073" s="5"/>
      <c r="M1073" s="5"/>
      <c r="T1073" s="109"/>
      <c r="U1073" s="7"/>
    </row>
    <row r="1074" s="2" customFormat="true" ht="15" hidden="false" customHeight="false" outlineLevel="0" collapsed="false">
      <c r="I1074" s="7"/>
      <c r="J1074" s="5"/>
      <c r="K1074" s="5"/>
      <c r="L1074" s="5"/>
      <c r="M1074" s="5"/>
      <c r="T1074" s="109"/>
      <c r="U1074" s="7"/>
    </row>
    <row r="1075" s="2" customFormat="true" ht="15" hidden="false" customHeight="false" outlineLevel="0" collapsed="false">
      <c r="I1075" s="7"/>
      <c r="J1075" s="5"/>
      <c r="K1075" s="5"/>
      <c r="L1075" s="5"/>
      <c r="M1075" s="5"/>
      <c r="T1075" s="109"/>
      <c r="U1075" s="7"/>
    </row>
    <row r="1076" s="2" customFormat="true" ht="15" hidden="false" customHeight="false" outlineLevel="0" collapsed="false">
      <c r="I1076" s="7"/>
      <c r="J1076" s="5"/>
      <c r="K1076" s="5"/>
      <c r="L1076" s="5"/>
      <c r="M1076" s="5"/>
      <c r="T1076" s="109"/>
      <c r="U1076" s="7"/>
    </row>
    <row r="1077" s="2" customFormat="true" ht="15" hidden="false" customHeight="false" outlineLevel="0" collapsed="false">
      <c r="I1077" s="7"/>
      <c r="J1077" s="5"/>
      <c r="K1077" s="5"/>
      <c r="L1077" s="5"/>
      <c r="M1077" s="5"/>
      <c r="T1077" s="109"/>
      <c r="U1077" s="7"/>
    </row>
    <row r="1078" s="2" customFormat="true" ht="15" hidden="false" customHeight="false" outlineLevel="0" collapsed="false">
      <c r="I1078" s="7"/>
      <c r="J1078" s="5"/>
      <c r="K1078" s="5"/>
      <c r="L1078" s="5"/>
      <c r="M1078" s="5"/>
      <c r="T1078" s="109"/>
      <c r="U1078" s="7"/>
    </row>
    <row r="1079" s="2" customFormat="true" ht="15" hidden="false" customHeight="false" outlineLevel="0" collapsed="false">
      <c r="I1079" s="7"/>
      <c r="J1079" s="5"/>
      <c r="K1079" s="5"/>
      <c r="L1079" s="5"/>
      <c r="M1079" s="5"/>
      <c r="T1079" s="109"/>
      <c r="U1079" s="7"/>
    </row>
    <row r="1080" s="2" customFormat="true" ht="15" hidden="false" customHeight="false" outlineLevel="0" collapsed="false">
      <c r="I1080" s="7"/>
      <c r="J1080" s="5"/>
      <c r="K1080" s="5"/>
      <c r="L1080" s="5"/>
      <c r="M1080" s="5"/>
      <c r="T1080" s="109"/>
      <c r="U1080" s="7"/>
    </row>
    <row r="1081" s="2" customFormat="true" ht="15" hidden="false" customHeight="false" outlineLevel="0" collapsed="false">
      <c r="I1081" s="7"/>
      <c r="J1081" s="5"/>
      <c r="K1081" s="5"/>
      <c r="L1081" s="5"/>
      <c r="M1081" s="5"/>
      <c r="T1081" s="109"/>
      <c r="U1081" s="7"/>
    </row>
    <row r="1082" s="2" customFormat="true" ht="15" hidden="false" customHeight="false" outlineLevel="0" collapsed="false">
      <c r="I1082" s="7"/>
      <c r="J1082" s="5"/>
      <c r="K1082" s="5"/>
      <c r="L1082" s="5"/>
      <c r="M1082" s="5"/>
      <c r="T1082" s="109"/>
      <c r="U1082" s="7"/>
    </row>
    <row r="1083" s="2" customFormat="true" ht="15" hidden="false" customHeight="false" outlineLevel="0" collapsed="false">
      <c r="I1083" s="7"/>
      <c r="J1083" s="5"/>
      <c r="K1083" s="5"/>
      <c r="L1083" s="5"/>
      <c r="M1083" s="5"/>
      <c r="T1083" s="109"/>
      <c r="U1083" s="7"/>
    </row>
    <row r="1084" s="2" customFormat="true" ht="15" hidden="false" customHeight="false" outlineLevel="0" collapsed="false">
      <c r="I1084" s="7"/>
      <c r="J1084" s="5"/>
      <c r="K1084" s="5"/>
      <c r="L1084" s="5"/>
      <c r="M1084" s="5"/>
      <c r="T1084" s="109"/>
      <c r="U1084" s="7"/>
    </row>
    <row r="1085" s="2" customFormat="true" ht="15" hidden="false" customHeight="false" outlineLevel="0" collapsed="false">
      <c r="I1085" s="7"/>
      <c r="J1085" s="5"/>
      <c r="K1085" s="5"/>
      <c r="L1085" s="5"/>
      <c r="M1085" s="5"/>
      <c r="T1085" s="109"/>
      <c r="U1085" s="7"/>
    </row>
    <row r="1086" s="2" customFormat="true" ht="15" hidden="false" customHeight="false" outlineLevel="0" collapsed="false">
      <c r="I1086" s="7"/>
      <c r="J1086" s="5"/>
      <c r="K1086" s="5"/>
      <c r="L1086" s="5"/>
      <c r="M1086" s="5"/>
      <c r="T1086" s="109"/>
      <c r="U1086" s="7"/>
    </row>
    <row r="1087" s="2" customFormat="true" ht="15" hidden="false" customHeight="false" outlineLevel="0" collapsed="false">
      <c r="I1087" s="7"/>
      <c r="J1087" s="5"/>
      <c r="K1087" s="5"/>
      <c r="L1087" s="5"/>
      <c r="M1087" s="5"/>
      <c r="T1087" s="109"/>
      <c r="U1087" s="7"/>
    </row>
    <row r="1088" s="2" customFormat="true" ht="15" hidden="false" customHeight="false" outlineLevel="0" collapsed="false">
      <c r="I1088" s="7"/>
      <c r="J1088" s="5"/>
      <c r="K1088" s="5"/>
      <c r="L1088" s="5"/>
      <c r="M1088" s="5"/>
      <c r="T1088" s="109"/>
      <c r="U1088" s="7"/>
    </row>
    <row r="1089" s="2" customFormat="true" ht="15" hidden="false" customHeight="false" outlineLevel="0" collapsed="false">
      <c r="I1089" s="7"/>
      <c r="J1089" s="5"/>
      <c r="K1089" s="5"/>
      <c r="L1089" s="5"/>
      <c r="M1089" s="5"/>
      <c r="T1089" s="109"/>
      <c r="U1089" s="7"/>
    </row>
    <row r="1090" s="2" customFormat="true" ht="15" hidden="false" customHeight="false" outlineLevel="0" collapsed="false">
      <c r="I1090" s="7"/>
      <c r="J1090" s="5"/>
      <c r="K1090" s="5"/>
      <c r="L1090" s="5"/>
      <c r="M1090" s="5"/>
      <c r="T1090" s="109"/>
      <c r="U1090" s="7"/>
    </row>
    <row r="1091" s="2" customFormat="true" ht="15" hidden="false" customHeight="false" outlineLevel="0" collapsed="false">
      <c r="I1091" s="7"/>
      <c r="J1091" s="5"/>
      <c r="K1091" s="5"/>
      <c r="L1091" s="5"/>
      <c r="M1091" s="5"/>
      <c r="T1091" s="109"/>
      <c r="U1091" s="7"/>
    </row>
    <row r="1092" s="2" customFormat="true" ht="15" hidden="false" customHeight="false" outlineLevel="0" collapsed="false">
      <c r="I1092" s="7"/>
      <c r="J1092" s="5"/>
      <c r="K1092" s="5"/>
      <c r="L1092" s="5"/>
      <c r="M1092" s="5"/>
      <c r="T1092" s="109"/>
      <c r="U1092" s="7"/>
    </row>
    <row r="1093" s="2" customFormat="true" ht="15" hidden="false" customHeight="false" outlineLevel="0" collapsed="false">
      <c r="I1093" s="7"/>
      <c r="J1093" s="5"/>
      <c r="K1093" s="5"/>
      <c r="L1093" s="5"/>
      <c r="M1093" s="5"/>
      <c r="T1093" s="109"/>
      <c r="U1093" s="7"/>
    </row>
    <row r="1094" s="2" customFormat="true" ht="15" hidden="false" customHeight="false" outlineLevel="0" collapsed="false">
      <c r="I1094" s="7"/>
      <c r="J1094" s="5"/>
      <c r="K1094" s="5"/>
      <c r="L1094" s="5"/>
      <c r="M1094" s="5"/>
      <c r="T1094" s="109"/>
      <c r="U1094" s="7"/>
    </row>
    <row r="1095" s="2" customFormat="true" ht="15" hidden="false" customHeight="false" outlineLevel="0" collapsed="false">
      <c r="I1095" s="7"/>
      <c r="J1095" s="5"/>
      <c r="K1095" s="5"/>
      <c r="L1095" s="5"/>
      <c r="M1095" s="5"/>
      <c r="T1095" s="109"/>
      <c r="U1095" s="7"/>
    </row>
    <row r="1096" s="2" customFormat="true" ht="15" hidden="false" customHeight="false" outlineLevel="0" collapsed="false">
      <c r="I1096" s="7"/>
      <c r="J1096" s="5"/>
      <c r="K1096" s="5"/>
      <c r="L1096" s="5"/>
      <c r="M1096" s="5"/>
      <c r="T1096" s="109"/>
      <c r="U1096" s="7"/>
    </row>
    <row r="1097" s="2" customFormat="true" ht="15" hidden="false" customHeight="false" outlineLevel="0" collapsed="false">
      <c r="I1097" s="7"/>
      <c r="J1097" s="5"/>
      <c r="K1097" s="5"/>
      <c r="L1097" s="5"/>
      <c r="M1097" s="5"/>
      <c r="T1097" s="109"/>
      <c r="U1097" s="7"/>
    </row>
    <row r="1098" s="2" customFormat="true" ht="15" hidden="false" customHeight="false" outlineLevel="0" collapsed="false">
      <c r="I1098" s="7"/>
      <c r="J1098" s="5"/>
      <c r="K1098" s="5"/>
      <c r="L1098" s="5"/>
      <c r="M1098" s="5"/>
      <c r="T1098" s="109"/>
      <c r="U1098" s="7"/>
    </row>
    <row r="1099" s="2" customFormat="true" ht="15" hidden="false" customHeight="false" outlineLevel="0" collapsed="false">
      <c r="I1099" s="7"/>
      <c r="J1099" s="5"/>
      <c r="K1099" s="5"/>
      <c r="L1099" s="5"/>
      <c r="M1099" s="5"/>
      <c r="T1099" s="109"/>
      <c r="U1099" s="7"/>
    </row>
    <row r="1100" s="2" customFormat="true" ht="15" hidden="false" customHeight="false" outlineLevel="0" collapsed="false">
      <c r="I1100" s="7"/>
      <c r="J1100" s="5"/>
      <c r="K1100" s="5"/>
      <c r="L1100" s="5"/>
      <c r="M1100" s="5"/>
      <c r="T1100" s="109"/>
      <c r="U1100" s="7"/>
    </row>
    <row r="1101" s="2" customFormat="true" ht="15" hidden="false" customHeight="false" outlineLevel="0" collapsed="false">
      <c r="I1101" s="7"/>
      <c r="J1101" s="5"/>
      <c r="K1101" s="5"/>
      <c r="L1101" s="5"/>
      <c r="M1101" s="5"/>
      <c r="T1101" s="109"/>
      <c r="U1101" s="7"/>
    </row>
    <row r="1102" s="2" customFormat="true" ht="15" hidden="false" customHeight="false" outlineLevel="0" collapsed="false">
      <c r="I1102" s="7"/>
      <c r="J1102" s="5"/>
      <c r="K1102" s="5"/>
      <c r="L1102" s="5"/>
      <c r="M1102" s="5"/>
      <c r="T1102" s="109"/>
      <c r="U1102" s="7"/>
    </row>
    <row r="1103" s="2" customFormat="true" ht="15" hidden="false" customHeight="false" outlineLevel="0" collapsed="false">
      <c r="I1103" s="7"/>
      <c r="J1103" s="5"/>
      <c r="K1103" s="5"/>
      <c r="L1103" s="5"/>
      <c r="M1103" s="5"/>
      <c r="T1103" s="109"/>
      <c r="U1103" s="7"/>
    </row>
    <row r="1104" s="2" customFormat="true" ht="15" hidden="false" customHeight="false" outlineLevel="0" collapsed="false">
      <c r="I1104" s="7"/>
      <c r="J1104" s="5"/>
      <c r="K1104" s="5"/>
      <c r="L1104" s="5"/>
      <c r="M1104" s="5"/>
      <c r="T1104" s="109"/>
      <c r="U1104" s="7"/>
    </row>
    <row r="1105" s="2" customFormat="true" ht="15" hidden="false" customHeight="false" outlineLevel="0" collapsed="false">
      <c r="I1105" s="7"/>
      <c r="J1105" s="5"/>
      <c r="K1105" s="5"/>
      <c r="L1105" s="5"/>
      <c r="M1105" s="5"/>
      <c r="T1105" s="109"/>
      <c r="U1105" s="7"/>
    </row>
    <row r="1106" s="2" customFormat="true" ht="15" hidden="false" customHeight="false" outlineLevel="0" collapsed="false">
      <c r="I1106" s="7"/>
      <c r="J1106" s="5"/>
      <c r="K1106" s="5"/>
      <c r="L1106" s="5"/>
      <c r="M1106" s="5"/>
      <c r="T1106" s="109"/>
      <c r="U1106" s="7"/>
    </row>
    <row r="1107" s="2" customFormat="true" ht="15" hidden="false" customHeight="false" outlineLevel="0" collapsed="false">
      <c r="I1107" s="7"/>
      <c r="J1107" s="5"/>
      <c r="K1107" s="5"/>
      <c r="L1107" s="5"/>
      <c r="M1107" s="5"/>
      <c r="T1107" s="109"/>
      <c r="U1107" s="7"/>
    </row>
    <row r="1108" s="2" customFormat="true" ht="15" hidden="false" customHeight="false" outlineLevel="0" collapsed="false">
      <c r="I1108" s="7"/>
      <c r="J1108" s="5"/>
      <c r="K1108" s="5"/>
      <c r="L1108" s="5"/>
      <c r="M1108" s="5"/>
      <c r="T1108" s="109"/>
      <c r="U1108" s="7"/>
    </row>
    <row r="1109" s="2" customFormat="true" ht="15" hidden="false" customHeight="false" outlineLevel="0" collapsed="false">
      <c r="I1109" s="7"/>
      <c r="J1109" s="5"/>
      <c r="K1109" s="5"/>
      <c r="L1109" s="5"/>
      <c r="M1109" s="5"/>
      <c r="T1109" s="109"/>
      <c r="U1109" s="7"/>
    </row>
    <row r="1110" s="2" customFormat="true" ht="15" hidden="false" customHeight="false" outlineLevel="0" collapsed="false">
      <c r="I1110" s="7"/>
      <c r="J1110" s="5"/>
      <c r="K1110" s="5"/>
      <c r="L1110" s="5"/>
      <c r="M1110" s="5"/>
      <c r="T1110" s="109"/>
      <c r="U1110" s="7"/>
    </row>
    <row r="1111" s="2" customFormat="true" ht="15" hidden="false" customHeight="false" outlineLevel="0" collapsed="false">
      <c r="I1111" s="7"/>
      <c r="J1111" s="5"/>
      <c r="K1111" s="5"/>
      <c r="L1111" s="5"/>
      <c r="M1111" s="5"/>
      <c r="T1111" s="109"/>
      <c r="U1111" s="7"/>
    </row>
    <row r="1112" s="2" customFormat="true" ht="15" hidden="false" customHeight="false" outlineLevel="0" collapsed="false">
      <c r="I1112" s="7"/>
      <c r="J1112" s="5"/>
      <c r="K1112" s="5"/>
      <c r="L1112" s="5"/>
      <c r="M1112" s="5"/>
      <c r="T1112" s="109"/>
      <c r="U1112" s="7"/>
    </row>
    <row r="1113" s="2" customFormat="true" ht="15" hidden="false" customHeight="false" outlineLevel="0" collapsed="false">
      <c r="I1113" s="7"/>
      <c r="J1113" s="5"/>
      <c r="K1113" s="5"/>
      <c r="L1113" s="5"/>
      <c r="M1113" s="5"/>
      <c r="T1113" s="109"/>
      <c r="U1113" s="7"/>
    </row>
    <row r="1114" s="2" customFormat="true" ht="15" hidden="false" customHeight="false" outlineLevel="0" collapsed="false">
      <c r="I1114" s="7"/>
      <c r="J1114" s="5"/>
      <c r="K1114" s="5"/>
      <c r="L1114" s="5"/>
      <c r="M1114" s="5"/>
      <c r="T1114" s="109"/>
      <c r="U1114" s="7"/>
    </row>
    <row r="1115" s="2" customFormat="true" ht="15" hidden="false" customHeight="false" outlineLevel="0" collapsed="false">
      <c r="I1115" s="7"/>
      <c r="J1115" s="5"/>
      <c r="K1115" s="5"/>
      <c r="L1115" s="5"/>
      <c r="M1115" s="5"/>
      <c r="T1115" s="109"/>
      <c r="U1115" s="7"/>
    </row>
    <row r="1116" s="2" customFormat="true" ht="15" hidden="false" customHeight="false" outlineLevel="0" collapsed="false">
      <c r="I1116" s="7"/>
      <c r="J1116" s="5"/>
      <c r="K1116" s="5"/>
      <c r="L1116" s="5"/>
      <c r="M1116" s="5"/>
      <c r="T1116" s="109"/>
      <c r="U1116" s="7"/>
    </row>
    <row r="1117" s="2" customFormat="true" ht="15" hidden="false" customHeight="false" outlineLevel="0" collapsed="false">
      <c r="I1117" s="7"/>
      <c r="J1117" s="5"/>
      <c r="K1117" s="5"/>
      <c r="L1117" s="5"/>
      <c r="M1117" s="5"/>
      <c r="T1117" s="109"/>
      <c r="U1117" s="7"/>
    </row>
    <row r="1118" s="2" customFormat="true" ht="15" hidden="false" customHeight="false" outlineLevel="0" collapsed="false">
      <c r="I1118" s="7"/>
      <c r="J1118" s="5"/>
      <c r="K1118" s="5"/>
      <c r="L1118" s="5"/>
      <c r="M1118" s="5"/>
      <c r="T1118" s="109"/>
      <c r="U1118" s="7"/>
    </row>
    <row r="1119" s="2" customFormat="true" ht="15" hidden="false" customHeight="false" outlineLevel="0" collapsed="false">
      <c r="I1119" s="7"/>
      <c r="J1119" s="5"/>
      <c r="K1119" s="5"/>
      <c r="L1119" s="5"/>
      <c r="M1119" s="5"/>
      <c r="T1119" s="109"/>
      <c r="U1119" s="7"/>
    </row>
    <row r="1120" s="2" customFormat="true" ht="15" hidden="false" customHeight="false" outlineLevel="0" collapsed="false">
      <c r="I1120" s="7"/>
      <c r="J1120" s="5"/>
      <c r="K1120" s="5"/>
      <c r="L1120" s="5"/>
      <c r="M1120" s="5"/>
      <c r="T1120" s="109"/>
      <c r="U1120" s="7"/>
    </row>
    <row r="1121" s="2" customFormat="true" ht="15" hidden="false" customHeight="false" outlineLevel="0" collapsed="false">
      <c r="I1121" s="7"/>
      <c r="J1121" s="5"/>
      <c r="K1121" s="5"/>
      <c r="L1121" s="5"/>
      <c r="M1121" s="5"/>
      <c r="T1121" s="109"/>
      <c r="U1121" s="7"/>
    </row>
    <row r="1122" s="2" customFormat="true" ht="15" hidden="false" customHeight="false" outlineLevel="0" collapsed="false">
      <c r="I1122" s="7"/>
      <c r="J1122" s="5"/>
      <c r="K1122" s="5"/>
      <c r="L1122" s="5"/>
      <c r="M1122" s="5"/>
      <c r="T1122" s="109"/>
      <c r="U1122" s="7"/>
    </row>
    <row r="1123" s="2" customFormat="true" ht="15" hidden="false" customHeight="false" outlineLevel="0" collapsed="false">
      <c r="I1123" s="7"/>
      <c r="J1123" s="5"/>
      <c r="K1123" s="5"/>
      <c r="L1123" s="5"/>
      <c r="M1123" s="5"/>
      <c r="T1123" s="109"/>
      <c r="U1123" s="7"/>
    </row>
    <row r="1124" s="2" customFormat="true" ht="15" hidden="false" customHeight="false" outlineLevel="0" collapsed="false">
      <c r="I1124" s="7"/>
      <c r="J1124" s="5"/>
      <c r="K1124" s="5"/>
      <c r="L1124" s="5"/>
      <c r="M1124" s="5"/>
      <c r="T1124" s="109"/>
      <c r="U1124" s="7"/>
    </row>
    <row r="1125" s="2" customFormat="true" ht="15" hidden="false" customHeight="false" outlineLevel="0" collapsed="false">
      <c r="I1125" s="7"/>
      <c r="J1125" s="5"/>
      <c r="K1125" s="5"/>
      <c r="L1125" s="5"/>
      <c r="M1125" s="5"/>
      <c r="T1125" s="109"/>
      <c r="U1125" s="7"/>
    </row>
    <row r="1126" s="2" customFormat="true" ht="15" hidden="false" customHeight="false" outlineLevel="0" collapsed="false">
      <c r="I1126" s="7"/>
      <c r="J1126" s="5"/>
      <c r="K1126" s="5"/>
      <c r="L1126" s="5"/>
      <c r="M1126" s="5"/>
      <c r="T1126" s="109"/>
      <c r="U1126" s="7"/>
    </row>
    <row r="1127" s="2" customFormat="true" ht="15" hidden="false" customHeight="false" outlineLevel="0" collapsed="false">
      <c r="I1127" s="7"/>
      <c r="J1127" s="5"/>
      <c r="K1127" s="5"/>
      <c r="L1127" s="5"/>
      <c r="M1127" s="5"/>
      <c r="T1127" s="109"/>
      <c r="U1127" s="7"/>
    </row>
    <row r="1128" s="2" customFormat="true" ht="15" hidden="false" customHeight="false" outlineLevel="0" collapsed="false">
      <c r="I1128" s="7"/>
      <c r="J1128" s="5"/>
      <c r="K1128" s="5"/>
      <c r="L1128" s="5"/>
      <c r="M1128" s="5"/>
      <c r="T1128" s="109"/>
      <c r="U1128" s="7"/>
    </row>
    <row r="1129" s="2" customFormat="true" ht="15" hidden="false" customHeight="false" outlineLevel="0" collapsed="false">
      <c r="I1129" s="7"/>
      <c r="J1129" s="5"/>
      <c r="K1129" s="5"/>
      <c r="L1129" s="5"/>
      <c r="M1129" s="5"/>
      <c r="T1129" s="109"/>
      <c r="U1129" s="7"/>
    </row>
    <row r="1130" s="2" customFormat="true" ht="15" hidden="false" customHeight="false" outlineLevel="0" collapsed="false">
      <c r="I1130" s="7"/>
      <c r="J1130" s="5"/>
      <c r="K1130" s="5"/>
      <c r="L1130" s="5"/>
      <c r="M1130" s="5"/>
      <c r="T1130" s="109"/>
      <c r="U1130" s="7"/>
    </row>
    <row r="1131" s="2" customFormat="true" ht="15" hidden="false" customHeight="false" outlineLevel="0" collapsed="false">
      <c r="I1131" s="7"/>
      <c r="J1131" s="5"/>
      <c r="K1131" s="5"/>
      <c r="L1131" s="5"/>
      <c r="M1131" s="5"/>
      <c r="T1131" s="109"/>
      <c r="U1131" s="7"/>
    </row>
    <row r="1132" s="2" customFormat="true" ht="15" hidden="false" customHeight="false" outlineLevel="0" collapsed="false">
      <c r="I1132" s="7"/>
      <c r="J1132" s="5"/>
      <c r="K1132" s="5"/>
      <c r="L1132" s="5"/>
      <c r="M1132" s="5"/>
      <c r="T1132" s="109"/>
      <c r="U1132" s="7"/>
    </row>
    <row r="1133" s="2" customFormat="true" ht="15" hidden="false" customHeight="false" outlineLevel="0" collapsed="false">
      <c r="I1133" s="7"/>
      <c r="J1133" s="5"/>
      <c r="K1133" s="5"/>
      <c r="L1133" s="5"/>
      <c r="M1133" s="5"/>
      <c r="T1133" s="109"/>
      <c r="U1133" s="7"/>
    </row>
    <row r="1134" s="2" customFormat="true" ht="15" hidden="false" customHeight="false" outlineLevel="0" collapsed="false">
      <c r="I1134" s="7"/>
      <c r="J1134" s="5"/>
      <c r="K1134" s="5"/>
      <c r="L1134" s="5"/>
      <c r="M1134" s="5"/>
      <c r="T1134" s="109"/>
      <c r="U1134" s="7"/>
    </row>
    <row r="1135" s="2" customFormat="true" ht="15" hidden="false" customHeight="false" outlineLevel="0" collapsed="false">
      <c r="I1135" s="7"/>
      <c r="J1135" s="5"/>
      <c r="K1135" s="5"/>
      <c r="L1135" s="5"/>
      <c r="M1135" s="5"/>
      <c r="T1135" s="109"/>
      <c r="U1135" s="7"/>
    </row>
    <row r="1136" s="2" customFormat="true" ht="15" hidden="false" customHeight="false" outlineLevel="0" collapsed="false">
      <c r="I1136" s="7"/>
      <c r="J1136" s="5"/>
      <c r="K1136" s="5"/>
      <c r="L1136" s="5"/>
      <c r="M1136" s="5"/>
      <c r="T1136" s="109"/>
      <c r="U1136" s="7"/>
    </row>
    <row r="1137" s="2" customFormat="true" ht="15" hidden="false" customHeight="false" outlineLevel="0" collapsed="false">
      <c r="I1137" s="7"/>
      <c r="J1137" s="5"/>
      <c r="K1137" s="5"/>
      <c r="L1137" s="5"/>
      <c r="M1137" s="5"/>
      <c r="T1137" s="109"/>
      <c r="U1137" s="7"/>
    </row>
    <row r="1138" s="2" customFormat="true" ht="15" hidden="false" customHeight="false" outlineLevel="0" collapsed="false">
      <c r="I1138" s="7"/>
      <c r="J1138" s="5"/>
      <c r="K1138" s="5"/>
      <c r="L1138" s="5"/>
      <c r="M1138" s="5"/>
      <c r="T1138" s="109"/>
      <c r="U1138" s="7"/>
    </row>
    <row r="1139" s="2" customFormat="true" ht="15" hidden="false" customHeight="false" outlineLevel="0" collapsed="false">
      <c r="I1139" s="7"/>
      <c r="J1139" s="5"/>
      <c r="K1139" s="5"/>
      <c r="L1139" s="5"/>
      <c r="M1139" s="5"/>
      <c r="T1139" s="109"/>
      <c r="U1139" s="7"/>
    </row>
    <row r="1140" s="2" customFormat="true" ht="15" hidden="false" customHeight="false" outlineLevel="0" collapsed="false">
      <c r="I1140" s="7"/>
      <c r="J1140" s="5"/>
      <c r="K1140" s="5"/>
      <c r="L1140" s="5"/>
      <c r="M1140" s="5"/>
      <c r="T1140" s="109"/>
      <c r="U1140" s="7"/>
    </row>
    <row r="1141" s="2" customFormat="true" ht="15" hidden="false" customHeight="false" outlineLevel="0" collapsed="false">
      <c r="I1141" s="7"/>
      <c r="J1141" s="5"/>
      <c r="K1141" s="5"/>
      <c r="L1141" s="5"/>
      <c r="M1141" s="5"/>
      <c r="T1141" s="109"/>
      <c r="U1141" s="7"/>
    </row>
    <row r="1142" s="2" customFormat="true" ht="15" hidden="false" customHeight="false" outlineLevel="0" collapsed="false">
      <c r="I1142" s="7"/>
      <c r="J1142" s="5"/>
      <c r="K1142" s="5"/>
      <c r="L1142" s="5"/>
      <c r="M1142" s="5"/>
      <c r="T1142" s="109"/>
      <c r="U1142" s="7"/>
    </row>
    <row r="1143" s="2" customFormat="true" ht="15" hidden="false" customHeight="false" outlineLevel="0" collapsed="false">
      <c r="I1143" s="7"/>
      <c r="J1143" s="5"/>
      <c r="K1143" s="5"/>
      <c r="L1143" s="5"/>
      <c r="M1143" s="5"/>
      <c r="T1143" s="109"/>
      <c r="U1143" s="7"/>
    </row>
    <row r="1144" s="2" customFormat="true" ht="15" hidden="false" customHeight="false" outlineLevel="0" collapsed="false">
      <c r="I1144" s="7"/>
      <c r="J1144" s="5"/>
      <c r="K1144" s="5"/>
      <c r="L1144" s="5"/>
      <c r="M1144" s="5"/>
      <c r="T1144" s="109"/>
      <c r="U1144" s="7"/>
    </row>
    <row r="1145" s="2" customFormat="true" ht="15" hidden="false" customHeight="false" outlineLevel="0" collapsed="false">
      <c r="I1145" s="7"/>
      <c r="J1145" s="5"/>
      <c r="K1145" s="5"/>
      <c r="L1145" s="5"/>
      <c r="M1145" s="5"/>
      <c r="T1145" s="109"/>
      <c r="U1145" s="7"/>
    </row>
    <row r="1146" s="2" customFormat="true" ht="15" hidden="false" customHeight="false" outlineLevel="0" collapsed="false">
      <c r="I1146" s="7"/>
      <c r="J1146" s="5"/>
      <c r="K1146" s="5"/>
      <c r="L1146" s="5"/>
      <c r="M1146" s="5"/>
      <c r="T1146" s="109"/>
      <c r="U1146" s="7"/>
    </row>
    <row r="1147" s="2" customFormat="true" ht="15" hidden="false" customHeight="false" outlineLevel="0" collapsed="false">
      <c r="I1147" s="7"/>
      <c r="J1147" s="5"/>
      <c r="K1147" s="5"/>
      <c r="L1147" s="5"/>
      <c r="M1147" s="5"/>
      <c r="T1147" s="109"/>
      <c r="U1147" s="7"/>
    </row>
    <row r="1148" s="2" customFormat="true" ht="15" hidden="false" customHeight="false" outlineLevel="0" collapsed="false">
      <c r="I1148" s="7"/>
      <c r="J1148" s="5"/>
      <c r="K1148" s="5"/>
      <c r="L1148" s="5"/>
      <c r="M1148" s="5"/>
      <c r="T1148" s="109"/>
      <c r="U1148" s="7"/>
    </row>
    <row r="1149" s="2" customFormat="true" ht="15" hidden="false" customHeight="false" outlineLevel="0" collapsed="false">
      <c r="I1149" s="7"/>
      <c r="J1149" s="5"/>
      <c r="K1149" s="5"/>
      <c r="L1149" s="5"/>
      <c r="M1149" s="5"/>
      <c r="T1149" s="109"/>
      <c r="U1149" s="7"/>
    </row>
    <row r="1150" s="2" customFormat="true" ht="15" hidden="false" customHeight="false" outlineLevel="0" collapsed="false">
      <c r="I1150" s="7"/>
      <c r="J1150" s="5"/>
      <c r="K1150" s="5"/>
      <c r="L1150" s="5"/>
      <c r="M1150" s="5"/>
      <c r="T1150" s="109"/>
      <c r="U1150" s="7"/>
    </row>
    <row r="1151" s="2" customFormat="true" ht="15" hidden="false" customHeight="false" outlineLevel="0" collapsed="false">
      <c r="I1151" s="7"/>
      <c r="J1151" s="5"/>
      <c r="K1151" s="5"/>
      <c r="L1151" s="5"/>
      <c r="M1151" s="5"/>
      <c r="T1151" s="109"/>
      <c r="U1151" s="7"/>
    </row>
    <row r="1152" s="2" customFormat="true" ht="15" hidden="false" customHeight="false" outlineLevel="0" collapsed="false">
      <c r="I1152" s="7"/>
      <c r="J1152" s="5"/>
      <c r="K1152" s="5"/>
      <c r="L1152" s="5"/>
      <c r="M1152" s="5"/>
      <c r="T1152" s="109"/>
      <c r="U1152" s="7"/>
    </row>
    <row r="1153" s="2" customFormat="true" ht="15" hidden="false" customHeight="false" outlineLevel="0" collapsed="false">
      <c r="I1153" s="7"/>
      <c r="J1153" s="5"/>
      <c r="K1153" s="5"/>
      <c r="L1153" s="5"/>
      <c r="M1153" s="5"/>
      <c r="T1153" s="109"/>
      <c r="U1153" s="7"/>
    </row>
    <row r="1154" s="2" customFormat="true" ht="15" hidden="false" customHeight="false" outlineLevel="0" collapsed="false">
      <c r="I1154" s="7"/>
      <c r="J1154" s="5"/>
      <c r="K1154" s="5"/>
      <c r="L1154" s="5"/>
      <c r="M1154" s="5"/>
      <c r="T1154" s="109"/>
      <c r="U1154" s="7"/>
    </row>
    <row r="1155" s="2" customFormat="true" ht="15" hidden="false" customHeight="false" outlineLevel="0" collapsed="false">
      <c r="I1155" s="7"/>
      <c r="J1155" s="5"/>
      <c r="K1155" s="5"/>
      <c r="L1155" s="5"/>
      <c r="M1155" s="5"/>
      <c r="T1155" s="109"/>
      <c r="U1155" s="7"/>
    </row>
    <row r="1156" s="2" customFormat="true" ht="15" hidden="false" customHeight="false" outlineLevel="0" collapsed="false">
      <c r="I1156" s="7"/>
      <c r="J1156" s="5"/>
      <c r="K1156" s="5"/>
      <c r="L1156" s="5"/>
      <c r="M1156" s="5"/>
      <c r="T1156" s="109"/>
      <c r="U1156" s="7"/>
    </row>
    <row r="1157" s="2" customFormat="true" ht="15" hidden="false" customHeight="false" outlineLevel="0" collapsed="false">
      <c r="I1157" s="7"/>
      <c r="J1157" s="5"/>
      <c r="K1157" s="5"/>
      <c r="L1157" s="5"/>
      <c r="M1157" s="5"/>
      <c r="T1157" s="109"/>
      <c r="U1157" s="7"/>
    </row>
    <row r="1158" s="2" customFormat="true" ht="15" hidden="false" customHeight="false" outlineLevel="0" collapsed="false">
      <c r="I1158" s="7"/>
      <c r="J1158" s="5"/>
      <c r="K1158" s="5"/>
      <c r="L1158" s="5"/>
      <c r="M1158" s="5"/>
      <c r="T1158" s="109"/>
      <c r="U1158" s="7"/>
    </row>
    <row r="1159" s="2" customFormat="true" ht="15" hidden="false" customHeight="false" outlineLevel="0" collapsed="false">
      <c r="I1159" s="7"/>
      <c r="J1159" s="5"/>
      <c r="K1159" s="5"/>
      <c r="L1159" s="5"/>
      <c r="M1159" s="5"/>
      <c r="T1159" s="109"/>
      <c r="U1159" s="7"/>
    </row>
    <row r="1160" s="2" customFormat="true" ht="15" hidden="false" customHeight="false" outlineLevel="0" collapsed="false">
      <c r="I1160" s="7"/>
      <c r="J1160" s="5"/>
      <c r="K1160" s="5"/>
      <c r="L1160" s="5"/>
      <c r="M1160" s="5"/>
      <c r="T1160" s="109"/>
      <c r="U1160" s="7"/>
    </row>
    <row r="1161" s="2" customFormat="true" ht="15" hidden="false" customHeight="false" outlineLevel="0" collapsed="false">
      <c r="I1161" s="7"/>
      <c r="J1161" s="5"/>
      <c r="K1161" s="5"/>
      <c r="L1161" s="5"/>
      <c r="M1161" s="5"/>
      <c r="T1161" s="109"/>
      <c r="U1161" s="7"/>
    </row>
    <row r="1162" s="2" customFormat="true" ht="15" hidden="false" customHeight="false" outlineLevel="0" collapsed="false">
      <c r="I1162" s="7"/>
      <c r="J1162" s="5"/>
      <c r="K1162" s="5"/>
      <c r="L1162" s="5"/>
      <c r="M1162" s="5"/>
      <c r="T1162" s="109"/>
      <c r="U1162" s="7"/>
    </row>
    <row r="1163" s="2" customFormat="true" ht="15" hidden="false" customHeight="false" outlineLevel="0" collapsed="false">
      <c r="I1163" s="7"/>
      <c r="J1163" s="5"/>
      <c r="K1163" s="5"/>
      <c r="L1163" s="5"/>
      <c r="M1163" s="5"/>
      <c r="T1163" s="109"/>
      <c r="U1163" s="7"/>
    </row>
    <row r="1164" s="2" customFormat="true" ht="15" hidden="false" customHeight="false" outlineLevel="0" collapsed="false">
      <c r="I1164" s="7"/>
      <c r="J1164" s="5"/>
      <c r="K1164" s="5"/>
      <c r="L1164" s="5"/>
      <c r="M1164" s="5"/>
      <c r="T1164" s="109"/>
      <c r="U1164" s="7"/>
    </row>
    <row r="1165" s="2" customFormat="true" ht="15" hidden="false" customHeight="false" outlineLevel="0" collapsed="false">
      <c r="I1165" s="7"/>
      <c r="J1165" s="5"/>
      <c r="K1165" s="5"/>
      <c r="L1165" s="5"/>
      <c r="M1165" s="5"/>
      <c r="T1165" s="109"/>
      <c r="U1165" s="7"/>
    </row>
    <row r="1166" s="2" customFormat="true" ht="15" hidden="false" customHeight="false" outlineLevel="0" collapsed="false">
      <c r="I1166" s="7"/>
      <c r="J1166" s="5"/>
      <c r="K1166" s="5"/>
      <c r="L1166" s="5"/>
      <c r="M1166" s="5"/>
      <c r="T1166" s="109"/>
      <c r="U1166" s="7"/>
    </row>
    <row r="1167" s="2" customFormat="true" ht="15" hidden="false" customHeight="false" outlineLevel="0" collapsed="false">
      <c r="I1167" s="7"/>
      <c r="J1167" s="5"/>
      <c r="K1167" s="5"/>
      <c r="L1167" s="5"/>
      <c r="M1167" s="5"/>
      <c r="T1167" s="109"/>
      <c r="U1167" s="7"/>
    </row>
    <row r="1168" s="2" customFormat="true" ht="15" hidden="false" customHeight="false" outlineLevel="0" collapsed="false">
      <c r="I1168" s="7"/>
      <c r="J1168" s="5"/>
      <c r="K1168" s="5"/>
      <c r="L1168" s="5"/>
      <c r="M1168" s="5"/>
      <c r="T1168" s="109"/>
      <c r="U1168" s="7"/>
    </row>
    <row r="1169" s="2" customFormat="true" ht="15" hidden="false" customHeight="false" outlineLevel="0" collapsed="false">
      <c r="I1169" s="7"/>
      <c r="J1169" s="5"/>
      <c r="K1169" s="5"/>
      <c r="L1169" s="5"/>
      <c r="M1169" s="5"/>
      <c r="T1169" s="109"/>
      <c r="U1169" s="7"/>
    </row>
    <row r="1170" s="2" customFormat="true" ht="15" hidden="false" customHeight="false" outlineLevel="0" collapsed="false">
      <c r="I1170" s="7"/>
      <c r="J1170" s="5"/>
      <c r="K1170" s="5"/>
      <c r="L1170" s="5"/>
      <c r="M1170" s="5"/>
      <c r="T1170" s="109"/>
      <c r="U1170" s="7"/>
    </row>
    <row r="1171" s="2" customFormat="true" ht="15" hidden="false" customHeight="false" outlineLevel="0" collapsed="false">
      <c r="I1171" s="7"/>
      <c r="J1171" s="5"/>
      <c r="K1171" s="5"/>
      <c r="L1171" s="5"/>
      <c r="M1171" s="5"/>
      <c r="T1171" s="109"/>
      <c r="U1171" s="7"/>
    </row>
    <row r="1172" s="2" customFormat="true" ht="15" hidden="false" customHeight="false" outlineLevel="0" collapsed="false">
      <c r="I1172" s="7"/>
      <c r="J1172" s="5"/>
      <c r="K1172" s="5"/>
      <c r="L1172" s="5"/>
      <c r="M1172" s="5"/>
      <c r="T1172" s="109"/>
      <c r="U1172" s="7"/>
    </row>
    <row r="1173" s="2" customFormat="true" ht="15" hidden="false" customHeight="false" outlineLevel="0" collapsed="false">
      <c r="I1173" s="7"/>
      <c r="J1173" s="5"/>
      <c r="K1173" s="5"/>
      <c r="L1173" s="5"/>
      <c r="M1173" s="5"/>
      <c r="T1173" s="109"/>
      <c r="U1173" s="7"/>
    </row>
    <row r="1174" s="2" customFormat="true" ht="15" hidden="false" customHeight="false" outlineLevel="0" collapsed="false">
      <c r="I1174" s="7"/>
      <c r="J1174" s="5"/>
      <c r="K1174" s="5"/>
      <c r="L1174" s="5"/>
      <c r="M1174" s="5"/>
      <c r="T1174" s="109"/>
      <c r="U1174" s="7"/>
    </row>
    <row r="1175" s="2" customFormat="true" ht="15" hidden="false" customHeight="false" outlineLevel="0" collapsed="false">
      <c r="I1175" s="7"/>
      <c r="J1175" s="5"/>
      <c r="K1175" s="5"/>
      <c r="L1175" s="5"/>
      <c r="M1175" s="5"/>
      <c r="T1175" s="109"/>
      <c r="U1175" s="7"/>
    </row>
    <row r="1176" s="2" customFormat="true" ht="15" hidden="false" customHeight="false" outlineLevel="0" collapsed="false">
      <c r="I1176" s="7"/>
      <c r="J1176" s="5"/>
      <c r="K1176" s="5"/>
      <c r="L1176" s="5"/>
      <c r="M1176" s="5"/>
      <c r="T1176" s="109"/>
      <c r="U1176" s="7"/>
    </row>
    <row r="1177" s="2" customFormat="true" ht="15" hidden="false" customHeight="false" outlineLevel="0" collapsed="false">
      <c r="I1177" s="7"/>
      <c r="J1177" s="5"/>
      <c r="K1177" s="5"/>
      <c r="L1177" s="5"/>
      <c r="M1177" s="5"/>
      <c r="T1177" s="109"/>
      <c r="U1177" s="7"/>
    </row>
    <row r="1178" s="2" customFormat="true" ht="15" hidden="false" customHeight="false" outlineLevel="0" collapsed="false">
      <c r="I1178" s="7"/>
      <c r="J1178" s="5"/>
      <c r="K1178" s="5"/>
      <c r="L1178" s="5"/>
      <c r="M1178" s="5"/>
      <c r="T1178" s="109"/>
      <c r="U1178" s="7"/>
    </row>
    <row r="1179" s="2" customFormat="true" ht="15" hidden="false" customHeight="false" outlineLevel="0" collapsed="false">
      <c r="I1179" s="7"/>
      <c r="J1179" s="5"/>
      <c r="K1179" s="5"/>
      <c r="L1179" s="5"/>
      <c r="M1179" s="5"/>
      <c r="T1179" s="109"/>
      <c r="U1179" s="7"/>
    </row>
    <row r="1180" s="2" customFormat="true" ht="15" hidden="false" customHeight="false" outlineLevel="0" collapsed="false">
      <c r="I1180" s="7"/>
      <c r="J1180" s="5"/>
      <c r="K1180" s="5"/>
      <c r="L1180" s="5"/>
      <c r="M1180" s="5"/>
      <c r="T1180" s="109"/>
      <c r="U1180" s="7"/>
    </row>
    <row r="1181" s="2" customFormat="true" ht="15" hidden="false" customHeight="false" outlineLevel="0" collapsed="false">
      <c r="I1181" s="7"/>
      <c r="J1181" s="5"/>
      <c r="K1181" s="5"/>
      <c r="L1181" s="5"/>
      <c r="M1181" s="5"/>
      <c r="T1181" s="109"/>
      <c r="U1181" s="7"/>
    </row>
    <row r="1182" s="2" customFormat="true" ht="15" hidden="false" customHeight="false" outlineLevel="0" collapsed="false">
      <c r="I1182" s="7"/>
      <c r="J1182" s="5"/>
      <c r="K1182" s="5"/>
      <c r="L1182" s="5"/>
      <c r="M1182" s="5"/>
      <c r="T1182" s="109"/>
      <c r="U1182" s="7"/>
    </row>
    <row r="1183" s="2" customFormat="true" ht="15" hidden="false" customHeight="false" outlineLevel="0" collapsed="false">
      <c r="I1183" s="7"/>
      <c r="J1183" s="5"/>
      <c r="K1183" s="5"/>
      <c r="L1183" s="5"/>
      <c r="M1183" s="5"/>
      <c r="T1183" s="109"/>
      <c r="U1183" s="7"/>
    </row>
    <row r="1184" s="2" customFormat="true" ht="15" hidden="false" customHeight="false" outlineLevel="0" collapsed="false">
      <c r="I1184" s="7"/>
      <c r="J1184" s="5"/>
      <c r="K1184" s="5"/>
      <c r="L1184" s="5"/>
      <c r="M1184" s="5"/>
      <c r="T1184" s="109"/>
      <c r="U1184" s="7"/>
    </row>
    <row r="1185" s="2" customFormat="true" ht="15" hidden="false" customHeight="false" outlineLevel="0" collapsed="false">
      <c r="I1185" s="7"/>
      <c r="J1185" s="5"/>
      <c r="K1185" s="5"/>
      <c r="L1185" s="5"/>
      <c r="M1185" s="5"/>
      <c r="T1185" s="109"/>
      <c r="U1185" s="7"/>
    </row>
    <row r="1186" s="2" customFormat="true" ht="15" hidden="false" customHeight="false" outlineLevel="0" collapsed="false">
      <c r="I1186" s="7"/>
      <c r="J1186" s="5"/>
      <c r="K1186" s="5"/>
      <c r="L1186" s="5"/>
      <c r="M1186" s="5"/>
      <c r="T1186" s="109"/>
      <c r="U1186" s="7"/>
    </row>
    <row r="1187" s="2" customFormat="true" ht="15" hidden="false" customHeight="false" outlineLevel="0" collapsed="false">
      <c r="I1187" s="7"/>
      <c r="J1187" s="5"/>
      <c r="K1187" s="5"/>
      <c r="L1187" s="5"/>
      <c r="M1187" s="5"/>
      <c r="T1187" s="109"/>
      <c r="U1187" s="7"/>
    </row>
    <row r="1188" s="2" customFormat="true" ht="15" hidden="false" customHeight="false" outlineLevel="0" collapsed="false">
      <c r="I1188" s="7"/>
      <c r="J1188" s="5"/>
      <c r="K1188" s="5"/>
      <c r="L1188" s="5"/>
      <c r="M1188" s="5"/>
      <c r="T1188" s="109"/>
      <c r="U1188" s="7"/>
    </row>
    <row r="1189" s="2" customFormat="true" ht="15" hidden="false" customHeight="false" outlineLevel="0" collapsed="false">
      <c r="I1189" s="7"/>
      <c r="J1189" s="5"/>
      <c r="K1189" s="5"/>
      <c r="L1189" s="5"/>
      <c r="M1189" s="5"/>
      <c r="T1189" s="109"/>
      <c r="U1189" s="7"/>
    </row>
    <row r="1190" s="2" customFormat="true" ht="15" hidden="false" customHeight="false" outlineLevel="0" collapsed="false">
      <c r="I1190" s="7"/>
      <c r="J1190" s="5"/>
      <c r="K1190" s="5"/>
      <c r="L1190" s="5"/>
      <c r="M1190" s="5"/>
      <c r="T1190" s="109"/>
      <c r="U1190" s="7"/>
    </row>
    <row r="1191" s="2" customFormat="true" ht="15" hidden="false" customHeight="false" outlineLevel="0" collapsed="false">
      <c r="I1191" s="7"/>
      <c r="J1191" s="5"/>
      <c r="K1191" s="5"/>
      <c r="L1191" s="5"/>
      <c r="M1191" s="5"/>
      <c r="T1191" s="109"/>
      <c r="U1191" s="7"/>
    </row>
    <row r="1192" s="2" customFormat="true" ht="15" hidden="false" customHeight="false" outlineLevel="0" collapsed="false">
      <c r="I1192" s="7"/>
      <c r="J1192" s="5"/>
      <c r="K1192" s="5"/>
      <c r="L1192" s="5"/>
      <c r="M1192" s="5"/>
      <c r="T1192" s="109"/>
      <c r="U1192" s="7"/>
    </row>
    <row r="1193" s="2" customFormat="true" ht="15" hidden="false" customHeight="false" outlineLevel="0" collapsed="false">
      <c r="I1193" s="7"/>
      <c r="J1193" s="5"/>
      <c r="K1193" s="5"/>
      <c r="L1193" s="5"/>
      <c r="M1193" s="5"/>
      <c r="T1193" s="109"/>
      <c r="U1193" s="7"/>
    </row>
    <row r="1194" s="2" customFormat="true" ht="15" hidden="false" customHeight="false" outlineLevel="0" collapsed="false">
      <c r="I1194" s="7"/>
      <c r="J1194" s="5"/>
      <c r="K1194" s="5"/>
      <c r="L1194" s="5"/>
      <c r="M1194" s="5"/>
      <c r="T1194" s="109"/>
      <c r="U1194" s="7"/>
    </row>
    <row r="1195" s="2" customFormat="true" ht="15" hidden="false" customHeight="false" outlineLevel="0" collapsed="false">
      <c r="I1195" s="7"/>
      <c r="J1195" s="5"/>
      <c r="K1195" s="5"/>
      <c r="L1195" s="5"/>
      <c r="M1195" s="5"/>
      <c r="T1195" s="109"/>
      <c r="U1195" s="7"/>
    </row>
    <row r="1196" s="2" customFormat="true" ht="15" hidden="false" customHeight="false" outlineLevel="0" collapsed="false">
      <c r="I1196" s="7"/>
      <c r="J1196" s="5"/>
      <c r="K1196" s="5"/>
      <c r="L1196" s="5"/>
      <c r="M1196" s="5"/>
      <c r="T1196" s="109"/>
      <c r="U1196" s="7"/>
    </row>
    <row r="1197" s="2" customFormat="true" ht="15" hidden="false" customHeight="false" outlineLevel="0" collapsed="false">
      <c r="I1197" s="7"/>
      <c r="J1197" s="5"/>
      <c r="K1197" s="5"/>
      <c r="L1197" s="5"/>
      <c r="M1197" s="5"/>
      <c r="T1197" s="109"/>
      <c r="U1197" s="7"/>
    </row>
    <row r="1198" s="2" customFormat="true" ht="15" hidden="false" customHeight="false" outlineLevel="0" collapsed="false">
      <c r="I1198" s="7"/>
      <c r="J1198" s="5"/>
      <c r="K1198" s="5"/>
      <c r="L1198" s="5"/>
      <c r="M1198" s="5"/>
      <c r="T1198" s="109"/>
      <c r="U1198" s="7"/>
    </row>
    <row r="1199" s="2" customFormat="true" ht="15" hidden="false" customHeight="false" outlineLevel="0" collapsed="false">
      <c r="I1199" s="7"/>
      <c r="J1199" s="5"/>
      <c r="K1199" s="5"/>
      <c r="L1199" s="5"/>
      <c r="M1199" s="5"/>
      <c r="T1199" s="109"/>
      <c r="U1199" s="7"/>
    </row>
    <row r="1200" s="2" customFormat="true" ht="15" hidden="false" customHeight="false" outlineLevel="0" collapsed="false">
      <c r="I1200" s="7"/>
      <c r="J1200" s="5"/>
      <c r="K1200" s="5"/>
      <c r="L1200" s="5"/>
      <c r="M1200" s="5"/>
      <c r="T1200" s="109"/>
      <c r="U1200" s="7"/>
    </row>
    <row r="1201" s="2" customFormat="true" ht="15" hidden="false" customHeight="false" outlineLevel="0" collapsed="false">
      <c r="I1201" s="7"/>
      <c r="J1201" s="5"/>
      <c r="K1201" s="5"/>
      <c r="L1201" s="5"/>
      <c r="M1201" s="5"/>
      <c r="T1201" s="109"/>
      <c r="U1201" s="7"/>
    </row>
    <row r="1202" s="2" customFormat="true" ht="15" hidden="false" customHeight="false" outlineLevel="0" collapsed="false">
      <c r="I1202" s="7"/>
      <c r="J1202" s="5"/>
      <c r="K1202" s="5"/>
      <c r="L1202" s="5"/>
      <c r="M1202" s="5"/>
      <c r="T1202" s="109"/>
      <c r="U1202" s="7"/>
    </row>
    <row r="1203" s="2" customFormat="true" ht="15" hidden="false" customHeight="false" outlineLevel="0" collapsed="false">
      <c r="I1203" s="7"/>
      <c r="J1203" s="5"/>
      <c r="K1203" s="5"/>
      <c r="L1203" s="5"/>
      <c r="M1203" s="5"/>
      <c r="T1203" s="109"/>
      <c r="U1203" s="7"/>
    </row>
    <row r="1204" s="2" customFormat="true" ht="15" hidden="false" customHeight="false" outlineLevel="0" collapsed="false">
      <c r="I1204" s="7"/>
      <c r="J1204" s="5"/>
      <c r="K1204" s="5"/>
      <c r="L1204" s="5"/>
      <c r="M1204" s="5"/>
      <c r="T1204" s="109"/>
      <c r="U1204" s="7"/>
    </row>
    <row r="1205" s="2" customFormat="true" ht="15" hidden="false" customHeight="false" outlineLevel="0" collapsed="false">
      <c r="I1205" s="7"/>
      <c r="J1205" s="5"/>
      <c r="K1205" s="5"/>
      <c r="L1205" s="5"/>
      <c r="M1205" s="5"/>
      <c r="T1205" s="109"/>
      <c r="U1205" s="7"/>
    </row>
    <row r="1206" s="2" customFormat="true" ht="15" hidden="false" customHeight="false" outlineLevel="0" collapsed="false">
      <c r="I1206" s="7"/>
      <c r="J1206" s="5"/>
      <c r="K1206" s="5"/>
      <c r="L1206" s="5"/>
      <c r="M1206" s="5"/>
      <c r="T1206" s="109"/>
      <c r="U1206" s="7"/>
    </row>
    <row r="1207" s="2" customFormat="true" ht="15" hidden="false" customHeight="false" outlineLevel="0" collapsed="false">
      <c r="I1207" s="7"/>
      <c r="J1207" s="5"/>
      <c r="K1207" s="5"/>
      <c r="L1207" s="5"/>
      <c r="M1207" s="5"/>
      <c r="T1207" s="109"/>
      <c r="U1207" s="7"/>
    </row>
    <row r="1208" s="2" customFormat="true" ht="15" hidden="false" customHeight="false" outlineLevel="0" collapsed="false">
      <c r="I1208" s="7"/>
      <c r="J1208" s="5"/>
      <c r="K1208" s="5"/>
      <c r="L1208" s="5"/>
      <c r="M1208" s="5"/>
      <c r="T1208" s="109"/>
      <c r="U1208" s="7"/>
    </row>
    <row r="1209" s="2" customFormat="true" ht="15" hidden="false" customHeight="false" outlineLevel="0" collapsed="false">
      <c r="I1209" s="7"/>
      <c r="J1209" s="5"/>
      <c r="K1209" s="5"/>
      <c r="L1209" s="5"/>
      <c r="M1209" s="5"/>
      <c r="T1209" s="109"/>
      <c r="U1209" s="7"/>
    </row>
    <row r="1210" s="2" customFormat="true" ht="15" hidden="false" customHeight="false" outlineLevel="0" collapsed="false">
      <c r="I1210" s="7"/>
      <c r="J1210" s="5"/>
      <c r="K1210" s="5"/>
      <c r="L1210" s="5"/>
      <c r="M1210" s="5"/>
      <c r="T1210" s="109"/>
      <c r="U1210" s="7"/>
    </row>
    <row r="1211" s="2" customFormat="true" ht="15" hidden="false" customHeight="false" outlineLevel="0" collapsed="false">
      <c r="I1211" s="7"/>
      <c r="J1211" s="5"/>
      <c r="K1211" s="5"/>
      <c r="L1211" s="5"/>
      <c r="M1211" s="5"/>
      <c r="T1211" s="109"/>
      <c r="U1211" s="7"/>
    </row>
    <row r="1212" s="2" customFormat="true" ht="15" hidden="false" customHeight="false" outlineLevel="0" collapsed="false">
      <c r="I1212" s="7"/>
      <c r="J1212" s="5"/>
      <c r="K1212" s="5"/>
      <c r="L1212" s="5"/>
      <c r="M1212" s="5"/>
      <c r="T1212" s="109"/>
      <c r="U1212" s="7"/>
    </row>
    <row r="1213" s="2" customFormat="true" ht="15" hidden="false" customHeight="false" outlineLevel="0" collapsed="false">
      <c r="I1213" s="7"/>
      <c r="J1213" s="5"/>
      <c r="K1213" s="5"/>
      <c r="L1213" s="5"/>
      <c r="M1213" s="5"/>
      <c r="T1213" s="109"/>
      <c r="U1213" s="7"/>
    </row>
    <row r="1214" s="2" customFormat="true" ht="15" hidden="false" customHeight="false" outlineLevel="0" collapsed="false">
      <c r="I1214" s="7"/>
      <c r="J1214" s="5"/>
      <c r="K1214" s="5"/>
      <c r="L1214" s="5"/>
      <c r="M1214" s="5"/>
      <c r="T1214" s="109"/>
      <c r="U1214" s="7"/>
    </row>
    <row r="1215" s="2" customFormat="true" ht="15" hidden="false" customHeight="false" outlineLevel="0" collapsed="false">
      <c r="I1215" s="7"/>
      <c r="J1215" s="5"/>
      <c r="K1215" s="5"/>
      <c r="L1215" s="5"/>
      <c r="M1215" s="5"/>
      <c r="T1215" s="109"/>
      <c r="U1215" s="7"/>
    </row>
    <row r="1216" s="2" customFormat="true" ht="15" hidden="false" customHeight="false" outlineLevel="0" collapsed="false">
      <c r="I1216" s="7"/>
      <c r="J1216" s="5"/>
      <c r="K1216" s="5"/>
      <c r="L1216" s="5"/>
      <c r="M1216" s="5"/>
      <c r="T1216" s="109"/>
      <c r="U1216" s="7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0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0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0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N1298" s="2"/>
      <c r="O1298" s="2"/>
      <c r="P1298" s="2"/>
      <c r="Q1298" s="2"/>
      <c r="R1298" s="2"/>
      <c r="S1298" s="2"/>
      <c r="T1298" s="10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N1299" s="2"/>
      <c r="O1299" s="2"/>
      <c r="P1299" s="2"/>
      <c r="Q1299" s="2"/>
      <c r="R1299" s="2"/>
      <c r="S1299" s="2"/>
      <c r="T1299" s="10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N1300" s="2"/>
      <c r="O1300" s="2"/>
      <c r="P1300" s="2"/>
      <c r="Q1300" s="2"/>
      <c r="R1300" s="2"/>
      <c r="S1300" s="2"/>
      <c r="T1300" s="10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N1301" s="2"/>
      <c r="O1301" s="2"/>
      <c r="P1301" s="2"/>
      <c r="Q1301" s="2"/>
      <c r="R1301" s="2"/>
      <c r="S1301" s="2"/>
      <c r="T1301" s="10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N1302" s="2"/>
      <c r="O1302" s="2"/>
      <c r="P1302" s="2"/>
      <c r="Q1302" s="2"/>
      <c r="R1302" s="2"/>
      <c r="S1302" s="2"/>
      <c r="T1302" s="10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N1303" s="2"/>
      <c r="O1303" s="2"/>
      <c r="P1303" s="2"/>
      <c r="Q1303" s="2"/>
      <c r="R1303" s="2"/>
      <c r="S1303" s="2"/>
      <c r="T1303" s="10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N1304" s="2"/>
      <c r="O1304" s="2"/>
      <c r="P1304" s="2"/>
      <c r="Q1304" s="2"/>
      <c r="R1304" s="2"/>
      <c r="S1304" s="2"/>
      <c r="T1304" s="10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N1305" s="2"/>
      <c r="O1305" s="2"/>
      <c r="P1305" s="2"/>
      <c r="Q1305" s="2"/>
      <c r="R1305" s="2"/>
      <c r="S1305" s="2"/>
      <c r="T1305" s="10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N1306" s="2"/>
      <c r="O1306" s="2"/>
      <c r="P1306" s="2"/>
      <c r="Q1306" s="2"/>
      <c r="R1306" s="2"/>
      <c r="S1306" s="2"/>
      <c r="T1306" s="10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N1307" s="2"/>
      <c r="O1307" s="2"/>
      <c r="P1307" s="2"/>
      <c r="Q1307" s="2"/>
      <c r="R1307" s="2"/>
      <c r="S1307" s="2"/>
      <c r="T1307" s="10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N1308" s="2"/>
      <c r="O1308" s="2"/>
      <c r="P1308" s="2"/>
      <c r="Q1308" s="2"/>
      <c r="R1308" s="2"/>
      <c r="S1308" s="2"/>
      <c r="T1308" s="10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N1309" s="2"/>
      <c r="O1309" s="2"/>
      <c r="P1309" s="2"/>
      <c r="Q1309" s="2"/>
      <c r="R1309" s="2"/>
      <c r="S1309" s="2"/>
      <c r="T1309" s="10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N1310" s="2"/>
      <c r="O1310" s="2"/>
      <c r="P1310" s="2"/>
      <c r="Q1310" s="2"/>
      <c r="R1310" s="2"/>
      <c r="S1310" s="2"/>
      <c r="T1310" s="10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N1311" s="2"/>
      <c r="O1311" s="2"/>
      <c r="P1311" s="2"/>
      <c r="Q1311" s="2"/>
      <c r="R1311" s="2"/>
      <c r="S1311" s="2"/>
      <c r="T1311" s="10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N1312" s="2"/>
      <c r="O1312" s="2"/>
      <c r="P1312" s="2"/>
      <c r="Q1312" s="2"/>
      <c r="R1312" s="2"/>
      <c r="S1312" s="2"/>
      <c r="T1312" s="10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N1313" s="2"/>
      <c r="O1313" s="2"/>
      <c r="P1313" s="2"/>
      <c r="Q1313" s="2"/>
      <c r="R1313" s="2"/>
      <c r="S1313" s="2"/>
      <c r="T1313" s="10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N1314" s="2"/>
      <c r="O1314" s="2"/>
      <c r="P1314" s="2"/>
      <c r="Q1314" s="2"/>
      <c r="R1314" s="2"/>
      <c r="S1314" s="2"/>
      <c r="T1314" s="10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N1315" s="2"/>
      <c r="O1315" s="2"/>
      <c r="P1315" s="2"/>
      <c r="Q1315" s="2"/>
      <c r="R1315" s="2"/>
      <c r="S1315" s="2"/>
      <c r="T1315" s="10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N1316" s="2"/>
      <c r="O1316" s="2"/>
      <c r="P1316" s="2"/>
      <c r="Q1316" s="2"/>
      <c r="R1316" s="2"/>
      <c r="S1316" s="2"/>
      <c r="T1316" s="10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N1317" s="2"/>
      <c r="O1317" s="2"/>
      <c r="P1317" s="2"/>
      <c r="Q1317" s="2"/>
      <c r="R1317" s="2"/>
      <c r="S1317" s="2"/>
      <c r="T1317" s="10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N1318" s="2"/>
      <c r="O1318" s="2"/>
      <c r="P1318" s="2"/>
      <c r="Q1318" s="2"/>
      <c r="R1318" s="2"/>
      <c r="S1318" s="2"/>
      <c r="T1318" s="10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N1319" s="2"/>
      <c r="O1319" s="2"/>
      <c r="P1319" s="2"/>
      <c r="Q1319" s="2"/>
      <c r="R1319" s="2"/>
      <c r="S1319" s="2"/>
      <c r="T1319" s="10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N1320" s="2"/>
      <c r="O1320" s="2"/>
      <c r="P1320" s="2"/>
      <c r="Q1320" s="2"/>
      <c r="R1320" s="2"/>
      <c r="S1320" s="2"/>
      <c r="T1320" s="10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N1321" s="2"/>
      <c r="O1321" s="2"/>
      <c r="P1321" s="2"/>
      <c r="Q1321" s="2"/>
      <c r="R1321" s="2"/>
      <c r="S1321" s="2"/>
      <c r="T1321" s="10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N1322" s="2"/>
      <c r="O1322" s="2"/>
      <c r="P1322" s="2"/>
      <c r="Q1322" s="2"/>
      <c r="R1322" s="2"/>
      <c r="S1322" s="2"/>
      <c r="T1322" s="10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N1323" s="2"/>
      <c r="O1323" s="2"/>
      <c r="P1323" s="2"/>
      <c r="Q1323" s="2"/>
      <c r="R1323" s="2"/>
      <c r="S1323" s="2"/>
      <c r="T1323" s="10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N1324" s="2"/>
      <c r="O1324" s="2"/>
      <c r="P1324" s="2"/>
      <c r="Q1324" s="2"/>
      <c r="R1324" s="2"/>
      <c r="S1324" s="2"/>
      <c r="T1324" s="10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N1325" s="2"/>
      <c r="O1325" s="2"/>
      <c r="P1325" s="2"/>
      <c r="Q1325" s="2"/>
      <c r="R1325" s="2"/>
      <c r="S1325" s="2"/>
      <c r="T1325" s="10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N1326" s="2"/>
      <c r="O1326" s="2"/>
      <c r="P1326" s="2"/>
      <c r="Q1326" s="2"/>
      <c r="R1326" s="2"/>
      <c r="S1326" s="2"/>
      <c r="T1326" s="10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N1327" s="2"/>
      <c r="O1327" s="2"/>
      <c r="P1327" s="2"/>
      <c r="Q1327" s="2"/>
      <c r="R1327" s="2"/>
      <c r="S1327" s="2"/>
      <c r="T1327" s="10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N1328" s="2"/>
      <c r="O1328" s="2"/>
      <c r="P1328" s="2"/>
      <c r="Q1328" s="2"/>
      <c r="R1328" s="2"/>
      <c r="S1328" s="2"/>
      <c r="T1328" s="10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N1329" s="2"/>
      <c r="O1329" s="2"/>
      <c r="P1329" s="2"/>
      <c r="Q1329" s="2"/>
      <c r="R1329" s="2"/>
      <c r="S1329" s="2"/>
      <c r="T1329" s="10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N1330" s="2"/>
      <c r="O1330" s="2"/>
      <c r="P1330" s="2"/>
      <c r="Q1330" s="2"/>
      <c r="R1330" s="2"/>
      <c r="S1330" s="2"/>
      <c r="T1330" s="10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N1331" s="2"/>
      <c r="O1331" s="2"/>
      <c r="P1331" s="2"/>
      <c r="Q1331" s="2"/>
      <c r="R1331" s="2"/>
      <c r="S1331" s="2"/>
      <c r="T1331" s="10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N1332" s="2"/>
      <c r="O1332" s="2"/>
      <c r="P1332" s="2"/>
      <c r="Q1332" s="2"/>
      <c r="R1332" s="2"/>
      <c r="S1332" s="2"/>
      <c r="T1332" s="10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N1333" s="2"/>
      <c r="O1333" s="2"/>
      <c r="P1333" s="2"/>
      <c r="Q1333" s="2"/>
      <c r="R1333" s="2"/>
      <c r="S1333" s="2"/>
      <c r="T1333" s="10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N1334" s="2"/>
      <c r="O1334" s="2"/>
      <c r="P1334" s="2"/>
      <c r="Q1334" s="2"/>
      <c r="R1334" s="2"/>
      <c r="S1334" s="2"/>
      <c r="T1334" s="10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N1335" s="2"/>
      <c r="O1335" s="2"/>
      <c r="P1335" s="2"/>
      <c r="Q1335" s="2"/>
      <c r="R1335" s="2"/>
      <c r="S1335" s="2"/>
      <c r="T1335" s="10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N1336" s="2"/>
      <c r="O1336" s="2"/>
      <c r="P1336" s="2"/>
      <c r="Q1336" s="2"/>
      <c r="R1336" s="2"/>
      <c r="S1336" s="2"/>
      <c r="T1336" s="10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N1337" s="2"/>
      <c r="O1337" s="2"/>
      <c r="P1337" s="2"/>
      <c r="Q1337" s="2"/>
      <c r="R1337" s="2"/>
      <c r="S1337" s="2"/>
      <c r="T1337" s="10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N1338" s="2"/>
      <c r="O1338" s="2"/>
      <c r="P1338" s="2"/>
      <c r="Q1338" s="2"/>
      <c r="R1338" s="2"/>
      <c r="S1338" s="2"/>
      <c r="T1338" s="10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N1339" s="2"/>
      <c r="O1339" s="2"/>
      <c r="P1339" s="2"/>
      <c r="Q1339" s="2"/>
      <c r="R1339" s="2"/>
      <c r="S1339" s="2"/>
      <c r="T1339" s="10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N1340" s="2"/>
      <c r="O1340" s="2"/>
      <c r="P1340" s="2"/>
      <c r="Q1340" s="2"/>
      <c r="R1340" s="2"/>
      <c r="S1340" s="2"/>
      <c r="T1340" s="10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N1341" s="2"/>
      <c r="O1341" s="2"/>
      <c r="P1341" s="2"/>
      <c r="Q1341" s="2"/>
      <c r="R1341" s="2"/>
      <c r="S1341" s="2"/>
      <c r="T1341" s="10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N1342" s="2"/>
      <c r="O1342" s="2"/>
      <c r="P1342" s="2"/>
      <c r="Q1342" s="2"/>
      <c r="R1342" s="2"/>
      <c r="S1342" s="2"/>
      <c r="T1342" s="10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N1343" s="2"/>
      <c r="O1343" s="2"/>
      <c r="P1343" s="2"/>
      <c r="Q1343" s="2"/>
      <c r="R1343" s="2"/>
      <c r="S1343" s="2"/>
      <c r="T1343" s="10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N1344" s="2"/>
      <c r="O1344" s="2"/>
      <c r="P1344" s="2"/>
      <c r="Q1344" s="2"/>
      <c r="R1344" s="2"/>
      <c r="S1344" s="2"/>
      <c r="T1344" s="10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N1345" s="2"/>
      <c r="O1345" s="2"/>
      <c r="P1345" s="2"/>
      <c r="Q1345" s="2"/>
      <c r="R1345" s="2"/>
      <c r="S1345" s="2"/>
      <c r="T1345" s="10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N1346" s="2"/>
      <c r="O1346" s="2"/>
      <c r="P1346" s="2"/>
      <c r="Q1346" s="2"/>
      <c r="R1346" s="2"/>
      <c r="S1346" s="2"/>
      <c r="T1346" s="10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" hidden="false" customHeight="false" outlineLevel="0" collapsed="false">
      <c r="N1347" s="1"/>
      <c r="O1347" s="1"/>
      <c r="P1347" s="1"/>
      <c r="Q1347" s="1"/>
      <c r="R1347" s="1"/>
      <c r="S1347" s="1"/>
      <c r="V1347" s="1"/>
      <c r="W1347" s="1"/>
      <c r="AI1347" s="1"/>
      <c r="AJ1347" s="1"/>
      <c r="AK1347" s="1"/>
      <c r="IU1347" s="1"/>
      <c r="IV1347" s="1"/>
      <c r="IW1347" s="1"/>
      <c r="IX1347" s="1"/>
      <c r="IY1347" s="1"/>
      <c r="IZ1347" s="1"/>
      <c r="JA1347" s="1"/>
      <c r="JB1347" s="1"/>
      <c r="JC1347" s="1"/>
    </row>
    <row r="1348" customFormat="false" ht="15" hidden="false" customHeight="false" outlineLevel="0" collapsed="false">
      <c r="N1348" s="1"/>
      <c r="O1348" s="1"/>
      <c r="P1348" s="1"/>
      <c r="Q1348" s="1"/>
      <c r="R1348" s="1"/>
      <c r="S1348" s="1"/>
      <c r="V1348" s="1"/>
      <c r="W1348" s="1"/>
      <c r="AI1348" s="1"/>
      <c r="AJ1348" s="1"/>
      <c r="AK1348" s="1"/>
      <c r="IU1348" s="1"/>
      <c r="IV1348" s="1"/>
      <c r="IW1348" s="1"/>
      <c r="IX1348" s="1"/>
      <c r="IY1348" s="1"/>
      <c r="IZ1348" s="1"/>
      <c r="JA1348" s="1"/>
      <c r="JB1348" s="1"/>
      <c r="JC1348" s="1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 F74:H75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 G74:H75">
    <cfRule type="expression" priority="3" aboveAverage="0" equalAverage="0" bottom="0" percent="0" rank="0" text="" dxfId="12">
      <formula>LEN(TRIM(G58))=0</formula>
    </cfRule>
  </conditionalFormatting>
  <conditionalFormatting sqref="D58:F72 F74:H75">
    <cfRule type="expression" priority="4" aboveAverage="0" equalAverage="0" bottom="0" percent="0" rank="0" text="" dxfId="13">
      <formula>LEN(TRIM(D58))=0</formula>
    </cfRule>
  </conditionalFormatting>
  <conditionalFormatting sqref="C13">
    <cfRule type="expression" priority="5" aboveAverage="0" equalAverage="0" bottom="0" percent="0" rank="0" text="" dxfId="14">
      <formula>LEN(TRIM(C13))=0</formula>
    </cfRule>
    <cfRule type="cellIs" priority="6" operator="equal" aboveAverage="0" equalAverage="0" bottom="0" percent="0" rank="0" text="" dxfId="15">
      <formula>$G$13</formula>
    </cfRule>
    <cfRule type="cellIs" priority="7" operator="greaterThan" aboveAverage="0" equalAverage="0" bottom="0" percent="0" rank="0" text="" dxfId="16">
      <formula>$F$13</formula>
    </cfRule>
    <cfRule type="cellIs" priority="8" operator="equal" aboveAverage="0" equalAverage="0" bottom="0" percent="0" rank="0" text="" dxfId="17">
      <formula>$F$13</formula>
    </cfRule>
    <cfRule type="cellIs" priority="9" operator="greaterThan" aboveAverage="0" equalAverage="0" bottom="0" percent="0" rank="0" text="" dxfId="18">
      <formula>$E$13</formula>
    </cfRule>
    <cfRule type="cellIs" priority="10" operator="equal" aboveAverage="0" equalAverage="0" bottom="0" percent="0" rank="0" text="" dxfId="19">
      <formula>$E$13</formula>
    </cfRule>
    <cfRule type="cellIs" priority="11" operator="greaterThan" aboveAverage="0" equalAverage="0" bottom="0" percent="0" rank="0" text="" dxfId="20">
      <formula>$D$13</formula>
    </cfRule>
    <cfRule type="cellIs" priority="12" operator="equal" aboveAverage="0" equalAverage="0" bottom="0" percent="0" rank="0" text="" dxfId="21">
      <formula>$D$13</formula>
    </cfRule>
    <cfRule type="cellIs" priority="13" operator="lessThan" aboveAverage="0" equalAverage="0" bottom="0" percent="0" rank="0" text="" dxfId="22">
      <formula>$D$13</formula>
    </cfRule>
  </conditionalFormatting>
  <conditionalFormatting sqref="C12">
    <cfRule type="expression" priority="14" aboveAverage="0" equalAverage="0" bottom="0" percent="0" rank="0" text="" dxfId="23">
      <formula>LEN(TRIM(C12))=0</formula>
    </cfRule>
    <cfRule type="cellIs" priority="15" operator="equal" aboveAverage="0" equalAverage="0" bottom="0" percent="0" rank="0" text="" dxfId="24">
      <formula>$G$12</formula>
    </cfRule>
    <cfRule type="cellIs" priority="16" operator="greaterThan" aboveAverage="0" equalAverage="0" bottom="0" percent="0" rank="0" text="" dxfId="25">
      <formula>$F$12</formula>
    </cfRule>
    <cfRule type="cellIs" priority="17" operator="equal" aboveAverage="0" equalAverage="0" bottom="0" percent="0" rank="0" text="" dxfId="26">
      <formula>$F$12</formula>
    </cfRule>
    <cfRule type="cellIs" priority="18" operator="greaterThan" aboveAverage="0" equalAverage="0" bottom="0" percent="0" rank="0" text="" dxfId="27">
      <formula>$E$12</formula>
    </cfRule>
    <cfRule type="cellIs" priority="19" operator="equal" aboveAverage="0" equalAverage="0" bottom="0" percent="0" rank="0" text="" dxfId="28">
      <formula>$E$12</formula>
    </cfRule>
    <cfRule type="cellIs" priority="20" operator="greaterThan" aboveAverage="0" equalAverage="0" bottom="0" percent="0" rank="0" text="" dxfId="29">
      <formula>$D$12</formula>
    </cfRule>
    <cfRule type="cellIs" priority="21" operator="equal" aboveAverage="0" equalAverage="0" bottom="0" percent="0" rank="0" text="" dxfId="30">
      <formula>$D$12</formula>
    </cfRule>
    <cfRule type="cellIs" priority="22" operator="lessThan" aboveAverage="0" equalAverage="0" bottom="0" percent="0" rank="0" text="" dxfId="31">
      <formula>$D$12</formula>
    </cfRule>
  </conditionalFormatting>
  <conditionalFormatting sqref="C25">
    <cfRule type="expression" priority="23" aboveAverage="0" equalAverage="0" bottom="0" percent="0" rank="0" text="" dxfId="32">
      <formula>LEN(TRIM(C25))=0</formula>
    </cfRule>
    <cfRule type="cellIs" priority="24" operator="equal" aboveAverage="0" equalAverage="0" bottom="0" percent="0" rank="0" text="" dxfId="33">
      <formula>$G$25</formula>
    </cfRule>
    <cfRule type="cellIs" priority="25" operator="greaterThan" aboveAverage="0" equalAverage="0" bottom="0" percent="0" rank="0" text="" dxfId="34">
      <formula>$F$25</formula>
    </cfRule>
    <cfRule type="cellIs" priority="26" operator="equal" aboveAverage="0" equalAverage="0" bottom="0" percent="0" rank="0" text="" dxfId="35">
      <formula>$F$25</formula>
    </cfRule>
    <cfRule type="cellIs" priority="27" operator="greaterThan" aboveAverage="0" equalAverage="0" bottom="0" percent="0" rank="0" text="" dxfId="36">
      <formula>$E$25</formula>
    </cfRule>
    <cfRule type="cellIs" priority="28" operator="equal" aboveAverage="0" equalAverage="0" bottom="0" percent="0" rank="0" text="" dxfId="37">
      <formula>$E$25</formula>
    </cfRule>
    <cfRule type="cellIs" priority="29" operator="greaterThan" aboveAverage="0" equalAverage="0" bottom="0" percent="0" rank="0" text="" dxfId="38">
      <formula>$D$25</formula>
    </cfRule>
    <cfRule type="cellIs" priority="30" operator="equal" aboveAverage="0" equalAverage="0" bottom="0" percent="0" rank="0" text="" dxfId="39">
      <formula>$D$25</formula>
    </cfRule>
    <cfRule type="cellIs" priority="31" operator="lessThan" aboveAverage="0" equalAverage="0" bottom="0" percent="0" rank="0" text="" dxfId="40">
      <formula>$D$25</formula>
    </cfRule>
  </conditionalFormatting>
  <conditionalFormatting sqref="C24">
    <cfRule type="expression" priority="32" aboveAverage="0" equalAverage="0" bottom="0" percent="0" rank="0" text="" dxfId="41">
      <formula>LEN(TRIM(C24))=0</formula>
    </cfRule>
    <cfRule type="cellIs" priority="33" operator="equal" aboveAverage="0" equalAverage="0" bottom="0" percent="0" rank="0" text="" dxfId="42">
      <formula>$G$24</formula>
    </cfRule>
    <cfRule type="cellIs" priority="34" operator="greaterThan" aboveAverage="0" equalAverage="0" bottom="0" percent="0" rank="0" text="" dxfId="43">
      <formula>$F$24</formula>
    </cfRule>
    <cfRule type="cellIs" priority="35" operator="equal" aboveAverage="0" equalAverage="0" bottom="0" percent="0" rank="0" text="" dxfId="44">
      <formula>$F$24</formula>
    </cfRule>
    <cfRule type="cellIs" priority="36" operator="greaterThan" aboveAverage="0" equalAverage="0" bottom="0" percent="0" rank="0" text="" dxfId="45">
      <formula>$E$24</formula>
    </cfRule>
    <cfRule type="cellIs" priority="37" operator="equal" aboveAverage="0" equalAverage="0" bottom="0" percent="0" rank="0" text="" dxfId="46">
      <formula>$E$24</formula>
    </cfRule>
    <cfRule type="cellIs" priority="38" operator="greaterThan" aboveAverage="0" equalAverage="0" bottom="0" percent="0" rank="0" text="" dxfId="47">
      <formula>$D$24</formula>
    </cfRule>
    <cfRule type="cellIs" priority="39" operator="equal" aboveAverage="0" equalAverage="0" bottom="0" percent="0" rank="0" text="" dxfId="48">
      <formula>$D$24</formula>
    </cfRule>
    <cfRule type="cellIs" priority="40" operator="lessThan" aboveAverage="0" equalAverage="0" bottom="0" percent="0" rank="0" text="" dxfId="49">
      <formula>$D$24</formula>
    </cfRule>
  </conditionalFormatting>
  <conditionalFormatting sqref="C23">
    <cfRule type="expression" priority="41" aboveAverage="0" equalAverage="0" bottom="0" percent="0" rank="0" text="" dxfId="50">
      <formula>LEN(TRIM(C23))=0</formula>
    </cfRule>
    <cfRule type="cellIs" priority="42" operator="equal" aboveAverage="0" equalAverage="0" bottom="0" percent="0" rank="0" text="" dxfId="51">
      <formula>$G$23</formula>
    </cfRule>
    <cfRule type="cellIs" priority="43" operator="greaterThan" aboveAverage="0" equalAverage="0" bottom="0" percent="0" rank="0" text="" dxfId="52">
      <formula>$F$23</formula>
    </cfRule>
    <cfRule type="cellIs" priority="44" operator="equal" aboveAverage="0" equalAverage="0" bottom="0" percent="0" rank="0" text="" dxfId="53">
      <formula>$F$23</formula>
    </cfRule>
    <cfRule type="cellIs" priority="45" operator="greaterThan" aboveAverage="0" equalAverage="0" bottom="0" percent="0" rank="0" text="" dxfId="54">
      <formula>$E$23</formula>
    </cfRule>
    <cfRule type="cellIs" priority="46" operator="equal" aboveAverage="0" equalAverage="0" bottom="0" percent="0" rank="0" text="" dxfId="55">
      <formula>$E$23</formula>
    </cfRule>
    <cfRule type="cellIs" priority="47" operator="greaterThan" aboveAverage="0" equalAverage="0" bottom="0" percent="0" rank="0" text="" dxfId="56">
      <formula>$D$23</formula>
    </cfRule>
    <cfRule type="cellIs" priority="48" operator="equal" aboveAverage="0" equalAverage="0" bottom="0" percent="0" rank="0" text="" dxfId="57">
      <formula>$D$23</formula>
    </cfRule>
    <cfRule type="cellIs" priority="49" operator="lessThan" aboveAverage="0" equalAverage="0" bottom="0" percent="0" rank="0" text="" dxfId="58">
      <formula>$D$23</formula>
    </cfRule>
  </conditionalFormatting>
  <conditionalFormatting sqref="C22">
    <cfRule type="expression" priority="50" aboveAverage="0" equalAverage="0" bottom="0" percent="0" rank="0" text="" dxfId="59">
      <formula>LEN(TRIM(C22))=0</formula>
    </cfRule>
    <cfRule type="cellIs" priority="51" operator="equal" aboveAverage="0" equalAverage="0" bottom="0" percent="0" rank="0" text="" dxfId="60">
      <formula>$G$22</formula>
    </cfRule>
    <cfRule type="cellIs" priority="52" operator="greaterThan" aboveAverage="0" equalAverage="0" bottom="0" percent="0" rank="0" text="" dxfId="61">
      <formula>$F$22</formula>
    </cfRule>
    <cfRule type="cellIs" priority="53" operator="equal" aboveAverage="0" equalAverage="0" bottom="0" percent="0" rank="0" text="" dxfId="62">
      <formula>$F$22</formula>
    </cfRule>
    <cfRule type="cellIs" priority="54" operator="greaterThan" aboveAverage="0" equalAverage="0" bottom="0" percent="0" rank="0" text="" dxfId="63">
      <formula>$E$22</formula>
    </cfRule>
    <cfRule type="cellIs" priority="55" operator="equal" aboveAverage="0" equalAverage="0" bottom="0" percent="0" rank="0" text="" dxfId="64">
      <formula>$E$22</formula>
    </cfRule>
    <cfRule type="cellIs" priority="56" operator="greaterThan" aboveAverage="0" equalAverage="0" bottom="0" percent="0" rank="0" text="" dxfId="65">
      <formula>$D$22</formula>
    </cfRule>
    <cfRule type="cellIs" priority="57" operator="equal" aboveAverage="0" equalAverage="0" bottom="0" percent="0" rank="0" text="" dxfId="66">
      <formula>$D$22</formula>
    </cfRule>
    <cfRule type="cellIs" priority="58" operator="lessThan" aboveAverage="0" equalAverage="0" bottom="0" percent="0" rank="0" text="" dxfId="67">
      <formula>$D$22</formula>
    </cfRule>
  </conditionalFormatting>
  <conditionalFormatting sqref="C21">
    <cfRule type="expression" priority="59" aboveAverage="0" equalAverage="0" bottom="0" percent="0" rank="0" text="" dxfId="68">
      <formula>LEN(TRIM(C21))=0</formula>
    </cfRule>
    <cfRule type="cellIs" priority="60" operator="equal" aboveAverage="0" equalAverage="0" bottom="0" percent="0" rank="0" text="" dxfId="69">
      <formula>$G$21</formula>
    </cfRule>
    <cfRule type="cellIs" priority="61" operator="greaterThan" aboveAverage="0" equalAverage="0" bottom="0" percent="0" rank="0" text="" dxfId="70">
      <formula>$F$21</formula>
    </cfRule>
    <cfRule type="cellIs" priority="62" operator="equal" aboveAverage="0" equalAverage="0" bottom="0" percent="0" rank="0" text="" dxfId="71">
      <formula>$F$21</formula>
    </cfRule>
    <cfRule type="cellIs" priority="63" operator="greaterThan" aboveAverage="0" equalAverage="0" bottom="0" percent="0" rank="0" text="" dxfId="72">
      <formula>$E$21</formula>
    </cfRule>
    <cfRule type="cellIs" priority="64" operator="equal" aboveAverage="0" equalAverage="0" bottom="0" percent="0" rank="0" text="" dxfId="73">
      <formula>$E$21</formula>
    </cfRule>
    <cfRule type="cellIs" priority="65" operator="greaterThan" aboveAverage="0" equalAverage="0" bottom="0" percent="0" rank="0" text="" dxfId="74">
      <formula>$D$21</formula>
    </cfRule>
    <cfRule type="cellIs" priority="66" operator="equal" aboveAverage="0" equalAverage="0" bottom="0" percent="0" rank="0" text="" dxfId="75">
      <formula>$D$21</formula>
    </cfRule>
    <cfRule type="cellIs" priority="67" operator="lessThan" aboveAverage="0" equalAverage="0" bottom="0" percent="0" rank="0" text="" dxfId="76">
      <formula>$D$21</formula>
    </cfRule>
  </conditionalFormatting>
  <conditionalFormatting sqref="C20">
    <cfRule type="expression" priority="68" aboveAverage="0" equalAverage="0" bottom="0" percent="0" rank="0" text="" dxfId="77">
      <formula>LEN(TRIM(C20))=0</formula>
    </cfRule>
    <cfRule type="cellIs" priority="69" operator="equal" aboveAverage="0" equalAverage="0" bottom="0" percent="0" rank="0" text="" dxfId="78">
      <formula>$G$20</formula>
    </cfRule>
    <cfRule type="cellIs" priority="70" operator="greaterThan" aboveAverage="0" equalAverage="0" bottom="0" percent="0" rank="0" text="" dxfId="79">
      <formula>$F$20</formula>
    </cfRule>
    <cfRule type="cellIs" priority="71" operator="equal" aboveAverage="0" equalAverage="0" bottom="0" percent="0" rank="0" text="" dxfId="80">
      <formula>$F$20</formula>
    </cfRule>
    <cfRule type="cellIs" priority="72" operator="greaterThan" aboveAverage="0" equalAverage="0" bottom="0" percent="0" rank="0" text="" dxfId="81">
      <formula>$E$20</formula>
    </cfRule>
    <cfRule type="cellIs" priority="73" operator="equal" aboveAverage="0" equalAverage="0" bottom="0" percent="0" rank="0" text="" dxfId="82">
      <formula>$E$20</formula>
    </cfRule>
    <cfRule type="cellIs" priority="74" operator="greaterThan" aboveAverage="0" equalAverage="0" bottom="0" percent="0" rank="0" text="" dxfId="83">
      <formula>$D$20</formula>
    </cfRule>
    <cfRule type="cellIs" priority="75" operator="equal" aboveAverage="0" equalAverage="0" bottom="0" percent="0" rank="0" text="" dxfId="84">
      <formula>$D$20</formula>
    </cfRule>
    <cfRule type="cellIs" priority="76" operator="lessThan" aboveAverage="0" equalAverage="0" bottom="0" percent="0" rank="0" text="" dxfId="85">
      <formula>$D$20</formula>
    </cfRule>
  </conditionalFormatting>
  <conditionalFormatting sqref="C18">
    <cfRule type="expression" priority="77" aboveAverage="0" equalAverage="0" bottom="0" percent="0" rank="0" text="" dxfId="86">
      <formula>LEN(TRIM(C18))=0</formula>
    </cfRule>
    <cfRule type="cellIs" priority="78" operator="equal" aboveAverage="0" equalAverage="0" bottom="0" percent="0" rank="0" text="" dxfId="87">
      <formula>$G$18</formula>
    </cfRule>
    <cfRule type="cellIs" priority="79" operator="greaterThan" aboveAverage="0" equalAverage="0" bottom="0" percent="0" rank="0" text="" dxfId="88">
      <formula>$F$18</formula>
    </cfRule>
    <cfRule type="cellIs" priority="80" operator="equal" aboveAverage="0" equalAverage="0" bottom="0" percent="0" rank="0" text="" dxfId="89">
      <formula>$F$18</formula>
    </cfRule>
    <cfRule type="cellIs" priority="81" operator="greaterThan" aboveAverage="0" equalAverage="0" bottom="0" percent="0" rank="0" text="" dxfId="90">
      <formula>$E$18</formula>
    </cfRule>
    <cfRule type="cellIs" priority="82" operator="equal" aboveAverage="0" equalAverage="0" bottom="0" percent="0" rank="0" text="" dxfId="91">
      <formula>$E$18</formula>
    </cfRule>
    <cfRule type="cellIs" priority="83" operator="greaterThan" aboveAverage="0" equalAverage="0" bottom="0" percent="0" rank="0" text="" dxfId="92">
      <formula>$D$18</formula>
    </cfRule>
    <cfRule type="cellIs" priority="84" operator="equal" aboveAverage="0" equalAverage="0" bottom="0" percent="0" rank="0" text="" dxfId="93">
      <formula>$D$18</formula>
    </cfRule>
    <cfRule type="cellIs" priority="85" operator="lessThan" aboveAverage="0" equalAverage="0" bottom="0" percent="0" rank="0" text="" dxfId="94">
      <formula>$D$18</formula>
    </cfRule>
  </conditionalFormatting>
  <conditionalFormatting sqref="C17">
    <cfRule type="expression" priority="86" aboveAverage="0" equalAverage="0" bottom="0" percent="0" rank="0" text="" dxfId="95">
      <formula>LEN(TRIM(C17))=0</formula>
    </cfRule>
    <cfRule type="cellIs" priority="87" operator="equal" aboveAverage="0" equalAverage="0" bottom="0" percent="0" rank="0" text="" dxfId="96">
      <formula>$G$17</formula>
    </cfRule>
    <cfRule type="cellIs" priority="88" operator="greaterThan" aboveAverage="0" equalAverage="0" bottom="0" percent="0" rank="0" text="" dxfId="97">
      <formula>$F$17</formula>
    </cfRule>
    <cfRule type="cellIs" priority="89" operator="equal" aboveAverage="0" equalAverage="0" bottom="0" percent="0" rank="0" text="" dxfId="98">
      <formula>$F$17</formula>
    </cfRule>
    <cfRule type="cellIs" priority="90" operator="greaterThan" aboveAverage="0" equalAverage="0" bottom="0" percent="0" rank="0" text="" dxfId="99">
      <formula>$E$17</formula>
    </cfRule>
    <cfRule type="cellIs" priority="91" operator="equal" aboveAverage="0" equalAverage="0" bottom="0" percent="0" rank="0" text="" dxfId="100">
      <formula>$E$17</formula>
    </cfRule>
    <cfRule type="cellIs" priority="92" operator="greaterThan" aboveAverage="0" equalAverage="0" bottom="0" percent="0" rank="0" text="" dxfId="101">
      <formula>$D$17</formula>
    </cfRule>
    <cfRule type="cellIs" priority="93" operator="equal" aboveAverage="0" equalAverage="0" bottom="0" percent="0" rank="0" text="" dxfId="102">
      <formula>$D$17</formula>
    </cfRule>
    <cfRule type="cellIs" priority="94" operator="lessThan" aboveAverage="0" equalAverage="0" bottom="0" percent="0" rank="0" text="" dxfId="103">
      <formula>$D$17</formula>
    </cfRule>
  </conditionalFormatting>
  <conditionalFormatting sqref="C16">
    <cfRule type="expression" priority="95" aboveAverage="0" equalAverage="0" bottom="0" percent="0" rank="0" text="" dxfId="104">
      <formula>LEN(TRIM(C16))=0</formula>
    </cfRule>
    <cfRule type="cellIs" priority="96" operator="equal" aboveAverage="0" equalAverage="0" bottom="0" percent="0" rank="0" text="" dxfId="105">
      <formula>$G$16</formula>
    </cfRule>
    <cfRule type="cellIs" priority="97" operator="greaterThan" aboveAverage="0" equalAverage="0" bottom="0" percent="0" rank="0" text="" dxfId="106">
      <formula>$F$16</formula>
    </cfRule>
    <cfRule type="cellIs" priority="98" operator="equal" aboveAverage="0" equalAverage="0" bottom="0" percent="0" rank="0" text="" dxfId="107">
      <formula>$F$16</formula>
    </cfRule>
    <cfRule type="cellIs" priority="99" operator="greaterThan" aboveAverage="0" equalAverage="0" bottom="0" percent="0" rank="0" text="" dxfId="108">
      <formula>$E$16</formula>
    </cfRule>
    <cfRule type="cellIs" priority="100" operator="equal" aboveAverage="0" equalAverage="0" bottom="0" percent="0" rank="0" text="" dxfId="109">
      <formula>$E$16</formula>
    </cfRule>
    <cfRule type="cellIs" priority="101" operator="greaterThan" aboveAverage="0" equalAverage="0" bottom="0" percent="0" rank="0" text="" dxfId="110">
      <formula>$D$16</formula>
    </cfRule>
    <cfRule type="cellIs" priority="102" operator="equal" aboveAverage="0" equalAverage="0" bottom="0" percent="0" rank="0" text="" dxfId="111">
      <formula>$D$16</formula>
    </cfRule>
    <cfRule type="cellIs" priority="103" operator="lessThan" aboveAverage="0" equalAverage="0" bottom="0" percent="0" rank="0" text="" dxfId="112">
      <formula>$D$16</formula>
    </cfRule>
  </conditionalFormatting>
  <conditionalFormatting sqref="C15">
    <cfRule type="expression" priority="104" aboveAverage="0" equalAverage="0" bottom="0" percent="0" rank="0" text="" dxfId="113">
      <formula>LEN(TRIM(C15))=0</formula>
    </cfRule>
    <cfRule type="cellIs" priority="105" operator="equal" aboveAverage="0" equalAverage="0" bottom="0" percent="0" rank="0" text="" dxfId="114">
      <formula>$G$15</formula>
    </cfRule>
    <cfRule type="cellIs" priority="106" operator="greaterThan" aboveAverage="0" equalAverage="0" bottom="0" percent="0" rank="0" text="" dxfId="115">
      <formula>$F$15</formula>
    </cfRule>
    <cfRule type="cellIs" priority="107" operator="equal" aboveAverage="0" equalAverage="0" bottom="0" percent="0" rank="0" text="" dxfId="116">
      <formula>$F$15</formula>
    </cfRule>
    <cfRule type="cellIs" priority="108" operator="greaterThan" aboveAverage="0" equalAverage="0" bottom="0" percent="0" rank="0" text="" dxfId="117">
      <formula>$E$15</formula>
    </cfRule>
    <cfRule type="cellIs" priority="109" operator="equal" aboveAverage="0" equalAverage="0" bottom="0" percent="0" rank="0" text="" dxfId="118">
      <formula>$E$15</formula>
    </cfRule>
    <cfRule type="cellIs" priority="110" operator="greaterThan" aboveAverage="0" equalAverage="0" bottom="0" percent="0" rank="0" text="" dxfId="119">
      <formula>$D$15</formula>
    </cfRule>
    <cfRule type="cellIs" priority="111" operator="equal" aboveAverage="0" equalAverage="0" bottom="0" percent="0" rank="0" text="" dxfId="120">
      <formula>$D$15</formula>
    </cfRule>
    <cfRule type="cellIs" priority="112" operator="lessThan" aboveAverage="0" equalAverage="0" bottom="0" percent="0" rank="0" text="" dxfId="121">
      <formula>$D$15</formula>
    </cfRule>
  </conditionalFormatting>
  <conditionalFormatting sqref="C14">
    <cfRule type="expression" priority="113" aboveAverage="0" equalAverage="0" bottom="0" percent="0" rank="0" text="" dxfId="122">
      <formula>LEN(TRIM(C14))=0</formula>
    </cfRule>
    <cfRule type="cellIs" priority="114" operator="equal" aboveAverage="0" equalAverage="0" bottom="0" percent="0" rank="0" text="" dxfId="123">
      <formula>$G$14</formula>
    </cfRule>
    <cfRule type="cellIs" priority="115" operator="greaterThan" aboveAverage="0" equalAverage="0" bottom="0" percent="0" rank="0" text="" dxfId="124">
      <formula>$F$14</formula>
    </cfRule>
    <cfRule type="cellIs" priority="116" operator="equal" aboveAverage="0" equalAverage="0" bottom="0" percent="0" rank="0" text="" dxfId="125">
      <formula>$F$14</formula>
    </cfRule>
    <cfRule type="cellIs" priority="117" operator="greaterThan" aboveAverage="0" equalAverage="0" bottom="0" percent="0" rank="0" text="" dxfId="126">
      <formula>$E$14</formula>
    </cfRule>
    <cfRule type="cellIs" priority="118" operator="equal" aboveAverage="0" equalAverage="0" bottom="0" percent="0" rank="0" text="" dxfId="127">
      <formula>$E$14</formula>
    </cfRule>
    <cfRule type="cellIs" priority="119" operator="greaterThan" aboveAverage="0" equalAverage="0" bottom="0" percent="0" rank="0" text="" dxfId="128">
      <formula>$D$14</formula>
    </cfRule>
    <cfRule type="cellIs" priority="120" operator="equal" aboveAverage="0" equalAverage="0" bottom="0" percent="0" rank="0" text="" dxfId="129">
      <formula>$D$14</formula>
    </cfRule>
    <cfRule type="cellIs" priority="121" operator="lessThan" aboveAverage="0" equalAverage="0" bottom="0" percent="0" rank="0" text="" dxfId="130">
      <formula>$D$14</formula>
    </cfRule>
  </conditionalFormatting>
  <conditionalFormatting sqref="C26">
    <cfRule type="expression" priority="122" aboveAverage="0" equalAverage="0" bottom="0" percent="0" rank="0" text="" dxfId="131">
      <formula>LEN(TRIM(C26))=0</formula>
    </cfRule>
    <cfRule type="cellIs" priority="123" operator="equal" aboveAverage="0" equalAverage="0" bottom="0" percent="0" rank="0" text="" dxfId="132">
      <formula>$G$26</formula>
    </cfRule>
    <cfRule type="cellIs" priority="124" operator="greaterThan" aboveAverage="0" equalAverage="0" bottom="0" percent="0" rank="0" text="" dxfId="133">
      <formula>$F$26</formula>
    </cfRule>
    <cfRule type="cellIs" priority="125" operator="equal" aboveAverage="0" equalAverage="0" bottom="0" percent="0" rank="0" text="" dxfId="134">
      <formula>$F$26</formula>
    </cfRule>
    <cfRule type="cellIs" priority="126" operator="greaterThan" aboveAverage="0" equalAverage="0" bottom="0" percent="0" rank="0" text="" dxfId="135">
      <formula>$E$26</formula>
    </cfRule>
    <cfRule type="cellIs" priority="127" operator="equal" aboveAverage="0" equalAverage="0" bottom="0" percent="0" rank="0" text="" dxfId="136">
      <formula>$E$26</formula>
    </cfRule>
    <cfRule type="cellIs" priority="128" operator="greaterThan" aboveAverage="0" equalAverage="0" bottom="0" percent="0" rank="0" text="" dxfId="137">
      <formula>$D$26</formula>
    </cfRule>
    <cfRule type="cellIs" priority="129" operator="equal" aboveAverage="0" equalAverage="0" bottom="0" percent="0" rank="0" text="" dxfId="138">
      <formula>$D$26</formula>
    </cfRule>
    <cfRule type="cellIs" priority="130" operator="lessThan" aboveAverage="0" equalAverage="0" bottom="0" percent="0" rank="0" text="" dxfId="139">
      <formula>$D$26</formula>
    </cfRule>
  </conditionalFormatting>
  <conditionalFormatting sqref="C19">
    <cfRule type="expression" priority="131" aboveAverage="0" equalAverage="0" bottom="0" percent="0" rank="0" text="" dxfId="140">
      <formula>LEN(TRIM(C19))=0</formula>
    </cfRule>
    <cfRule type="cellIs" priority="132" operator="equal" aboveAverage="0" equalAverage="0" bottom="0" percent="0" rank="0" text="" dxfId="141">
      <formula>$G$19</formula>
    </cfRule>
    <cfRule type="cellIs" priority="133" operator="greaterThan" aboveAverage="0" equalAverage="0" bottom="0" percent="0" rank="0" text="" dxfId="142">
      <formula>$F$19</formula>
    </cfRule>
    <cfRule type="cellIs" priority="134" operator="equal" aboveAverage="0" equalAverage="0" bottom="0" percent="0" rank="0" text="" dxfId="143">
      <formula>$F$19</formula>
    </cfRule>
    <cfRule type="cellIs" priority="135" operator="greaterThan" aboveAverage="0" equalAverage="0" bottom="0" percent="0" rank="0" text="" dxfId="144">
      <formula>$E$19</formula>
    </cfRule>
    <cfRule type="cellIs" priority="136" operator="equal" aboveAverage="0" equalAverage="0" bottom="0" percent="0" rank="0" text="" dxfId="145">
      <formula>$E$19</formula>
    </cfRule>
    <cfRule type="cellIs" priority="137" operator="greaterThan" aboveAverage="0" equalAverage="0" bottom="0" percent="0" rank="0" text="" dxfId="146">
      <formula>$D$19</formula>
    </cfRule>
    <cfRule type="cellIs" priority="138" operator="equal" aboveAverage="0" equalAverage="0" bottom="0" percent="0" rank="0" text="" dxfId="147">
      <formula>$D$19</formula>
    </cfRule>
    <cfRule type="cellIs" priority="139" operator="lessThan" aboveAverage="0" equalAverage="0" bottom="0" percent="0" rank="0" text="" dxfId="148">
      <formula>$D$19</formula>
    </cfRule>
  </conditionalFormatting>
  <conditionalFormatting sqref="G12:G26">
    <cfRule type="expression" priority="140" aboveAverage="0" equalAverage="0" bottom="0" percent="0" rank="0" text="" dxfId="149">
      <formula>LEN(TRIM(G12))=0</formula>
    </cfRule>
  </conditionalFormatting>
  <conditionalFormatting sqref="D12:F26">
    <cfRule type="expression" priority="141" aboveAverage="0" equalAverage="0" bottom="0" percent="0" rank="0" text="" dxfId="150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988" type="list">
      <formula1>Dates2</formula1>
      <formula2>0</formula2>
    </dataValidation>
    <dataValidation allowBlank="true" errorStyle="stop" operator="between" showDropDown="false" showErrorMessage="true" showInputMessage="true" sqref="I2:I98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98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4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5" activeCellId="0" sqref="E15"/>
    </sheetView>
  </sheetViews>
  <sheetFormatPr defaultColWidth="9.73828125" defaultRowHeight="15.7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212" t="s">
        <v>76</v>
      </c>
      <c r="F1" s="212"/>
      <c r="G1" s="212"/>
      <c r="H1" s="11"/>
      <c r="I1" s="12" t="s">
        <v>1</v>
      </c>
      <c r="J1" s="12" t="s">
        <v>2</v>
      </c>
      <c r="K1" s="12" t="s">
        <v>3</v>
      </c>
      <c r="L1" s="12" t="s">
        <v>4</v>
      </c>
      <c r="N1" s="13" t="s">
        <v>5</v>
      </c>
      <c r="O1" s="14" t="s">
        <v>6</v>
      </c>
      <c r="P1" s="15" t="s">
        <v>7</v>
      </c>
      <c r="Q1" s="15" t="s">
        <v>8</v>
      </c>
      <c r="R1" s="15" t="s">
        <v>9</v>
      </c>
      <c r="S1" s="16" t="s">
        <v>10</v>
      </c>
      <c r="T1" s="17" t="s">
        <v>11</v>
      </c>
      <c r="U1" s="18"/>
      <c r="V1" s="19"/>
      <c r="W1" s="20" t="n">
        <f aca="false">B12</f>
        <v>0</v>
      </c>
      <c r="X1" s="21" t="n">
        <f aca="false">B13</f>
        <v>0</v>
      </c>
      <c r="Y1" s="21" t="n">
        <f aca="false">B14</f>
        <v>0</v>
      </c>
      <c r="Z1" s="21" t="n">
        <f aca="false">B15</f>
        <v>0</v>
      </c>
      <c r="AA1" s="21" t="n">
        <f aca="false">B16</f>
        <v>0</v>
      </c>
      <c r="AB1" s="21" t="n">
        <f aca="false">B17</f>
        <v>0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0</v>
      </c>
      <c r="AN1" s="25" t="n">
        <f aca="false">C58</f>
        <v>0</v>
      </c>
      <c r="AO1" s="26" t="n">
        <f aca="false">B59</f>
        <v>0</v>
      </c>
      <c r="AP1" s="26" t="n">
        <f aca="false">C59</f>
        <v>0</v>
      </c>
      <c r="AQ1" s="26" t="n">
        <f aca="false">B60</f>
        <v>0</v>
      </c>
      <c r="AR1" s="26" t="n">
        <f aca="false">C60</f>
        <v>0</v>
      </c>
      <c r="AS1" s="26" t="n">
        <f aca="false">B61</f>
        <v>0</v>
      </c>
      <c r="AT1" s="26" t="n">
        <f aca="false">C61</f>
        <v>0</v>
      </c>
      <c r="AU1" s="26" t="n">
        <f aca="false">B62</f>
        <v>0</v>
      </c>
      <c r="AV1" s="26" t="n">
        <f aca="false">C62</f>
        <v>0</v>
      </c>
      <c r="AW1" s="26" t="n">
        <f aca="false">B63</f>
        <v>0</v>
      </c>
      <c r="AX1" s="26" t="n">
        <f aca="false">C63</f>
        <v>0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6.5" hidden="false" customHeight="false" outlineLevel="0" collapsed="false">
      <c r="A2" s="2"/>
      <c r="B2" s="2"/>
      <c r="C2" s="2"/>
      <c r="D2" s="2"/>
      <c r="E2" s="2"/>
      <c r="F2" s="2"/>
      <c r="G2" s="2"/>
      <c r="I2" s="4"/>
      <c r="J2" s="213"/>
      <c r="N2" s="35"/>
      <c r="O2" s="36"/>
      <c r="P2" s="37"/>
      <c r="Q2" s="37"/>
      <c r="R2" s="37"/>
      <c r="S2" s="38"/>
      <c r="T2" s="39"/>
      <c r="U2" s="40"/>
      <c r="V2" s="41"/>
      <c r="W2" s="42" t="n">
        <f aca="false">A12</f>
        <v>0</v>
      </c>
      <c r="X2" s="43" t="n">
        <f aca="false">A13</f>
        <v>0</v>
      </c>
      <c r="Y2" s="43" t="n">
        <f aca="false">A14</f>
        <v>0</v>
      </c>
      <c r="Z2" s="43" t="n">
        <f aca="false">A15</f>
        <v>0</v>
      </c>
      <c r="AA2" s="43" t="n">
        <f aca="false">A16</f>
        <v>0</v>
      </c>
      <c r="AB2" s="43" t="n">
        <f aca="false">A17</f>
        <v>0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n">
        <f aca="false">A58</f>
        <v>0</v>
      </c>
      <c r="AN2" s="46"/>
      <c r="AO2" s="47" t="n">
        <f aca="false">A59</f>
        <v>0</v>
      </c>
      <c r="AP2" s="47"/>
      <c r="AQ2" s="47" t="n">
        <f aca="false">A60</f>
        <v>0</v>
      </c>
      <c r="AR2" s="47"/>
      <c r="AS2" s="47" t="n">
        <f aca="false">A61</f>
        <v>0</v>
      </c>
      <c r="AT2" s="47"/>
      <c r="AU2" s="47" t="n">
        <f aca="false">A62</f>
        <v>0</v>
      </c>
      <c r="AV2" s="47"/>
      <c r="AW2" s="47" t="n">
        <f aca="false">A63</f>
        <v>0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21" hidden="false" customHeight="false" outlineLevel="0" collapsed="false">
      <c r="A3" s="51" t="s">
        <v>14</v>
      </c>
      <c r="B3" s="51"/>
      <c r="C3" s="51"/>
      <c r="D3" s="9"/>
      <c r="E3" s="52" t="s">
        <v>15</v>
      </c>
      <c r="F3" s="53" t="str">
        <f aca="false">IF(C4=0,"",C4)</f>
        <v/>
      </c>
      <c r="G3" s="54" t="s">
        <v>16</v>
      </c>
      <c r="H3" s="55"/>
      <c r="I3" s="4"/>
      <c r="J3" s="213"/>
      <c r="N3" s="56"/>
      <c r="O3" s="57"/>
      <c r="P3" s="58"/>
      <c r="Q3" s="58"/>
      <c r="R3" s="58"/>
      <c r="S3" s="59"/>
      <c r="T3" s="78"/>
      <c r="U3" s="40"/>
      <c r="V3" s="60" t="n">
        <f aca="false">O2</f>
        <v>0</v>
      </c>
      <c r="W3" s="43" t="str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str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43" t="str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str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str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62" t="str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63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3" t="str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63" t="str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63" t="str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63" t="str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63" t="str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63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3" t="str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63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3" t="str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8" hidden="false" customHeight="false" outlineLevel="0" collapsed="false">
      <c r="A4" s="65"/>
      <c r="B4" s="66" t="s">
        <v>1</v>
      </c>
      <c r="C4" s="67"/>
      <c r="D4" s="2"/>
      <c r="E4" s="68"/>
      <c r="F4" s="69" t="str">
        <f aca="false">IFERROR(VLOOKUP(E4,A12:H26,3,FALSE())*100/VLOOKUP(E4,A12:H26,7,FALSE())/100,"")</f>
        <v/>
      </c>
      <c r="G4" s="70" t="str">
        <f aca="false">IFERROR(VLOOKUP(E4,A12:H26,8,FALSE())*100/VLOOKUP(E4,A12:H26,7,FALSE())/100,"")</f>
        <v/>
      </c>
      <c r="H4" s="71"/>
      <c r="I4" s="4"/>
      <c r="J4" s="213"/>
      <c r="N4" s="35"/>
      <c r="O4" s="36"/>
      <c r="P4" s="37"/>
      <c r="Q4" s="37"/>
      <c r="R4" s="37"/>
      <c r="S4" s="38"/>
      <c r="T4" s="100"/>
      <c r="U4" s="40"/>
      <c r="V4" s="72" t="n">
        <f aca="false">O3</f>
        <v>0</v>
      </c>
      <c r="W4" s="43" t="str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/>
      </c>
      <c r="X4" s="43" t="str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43" t="str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/>
      </c>
      <c r="Z4" s="43" t="str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43" t="str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/>
      </c>
      <c r="AB4" s="43" t="str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/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str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/>
      </c>
      <c r="AN4" s="62" t="str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63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3" t="str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63" t="str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/>
      </c>
      <c r="AR4" s="63" t="str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63" t="str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63" t="str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63" t="str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/>
      </c>
      <c r="AV4" s="63" t="str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63" t="str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/>
      </c>
      <c r="AX4" s="63" t="str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.75" hidden="false" customHeight="false" outlineLevel="0" collapsed="false">
      <c r="A5" s="65"/>
      <c r="B5" s="73" t="s">
        <v>22</v>
      </c>
      <c r="C5" s="74" t="str">
        <f aca="false">IFERROR(VLOOKUP(C4,O2:S26,2,FALSE()),"")</f>
        <v/>
      </c>
      <c r="D5" s="2"/>
      <c r="E5" s="75"/>
      <c r="F5" s="76" t="str">
        <f aca="false">IFERROR(VLOOKUP(E5,A12:H26,3,FALSE())*100/VLOOKUP(E5,A12:H26,7,FALSE())/100,"")</f>
        <v/>
      </c>
      <c r="G5" s="77" t="str">
        <f aca="false">IFERROR(VLOOKUP(E5,A12:H26,8,FALSE())*100/VLOOKUP(E5,A12:H26,7,FALSE())/100,"")</f>
        <v/>
      </c>
      <c r="H5" s="71"/>
      <c r="I5" s="4"/>
      <c r="J5" s="213"/>
      <c r="N5" s="56"/>
      <c r="O5" s="57"/>
      <c r="P5" s="58"/>
      <c r="Q5" s="58"/>
      <c r="R5" s="58"/>
      <c r="S5" s="59"/>
      <c r="T5" s="78"/>
      <c r="U5" s="40"/>
      <c r="V5" s="72" t="n">
        <f aca="false">O4</f>
        <v>0</v>
      </c>
      <c r="W5" s="43" t="str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/>
      </c>
      <c r="X5" s="43" t="str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43" t="str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/>
      </c>
      <c r="Z5" s="43" t="str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43" t="str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/>
      </c>
      <c r="AB5" s="43" t="str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/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str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/>
      </c>
      <c r="AN5" s="62" t="str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63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3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3" t="str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/>
      </c>
      <c r="AR5" s="63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3" t="str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63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3" t="str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/>
      </c>
      <c r="AV5" s="63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3" t="str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/>
      </c>
      <c r="AX5" s="63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.75" hidden="false" customHeight="false" outlineLevel="0" collapsed="false">
      <c r="A6" s="65"/>
      <c r="B6" s="73" t="s">
        <v>8</v>
      </c>
      <c r="C6" s="74" t="n">
        <f aca="false">IFERROR(VLOOKUP(C4,O:Q,3,FALSE()),"")</f>
        <v>0</v>
      </c>
      <c r="D6" s="2"/>
      <c r="E6" s="75"/>
      <c r="F6" s="76" t="str">
        <f aca="false">IFERROR(VLOOKUP(E6,A12:H26,3,FALSE())*100/VLOOKUP(E6,A12:H26,7,FALSE())/100,"")</f>
        <v/>
      </c>
      <c r="G6" s="77" t="str">
        <f aca="false">IFERROR(VLOOKUP(E6,A12:H26,8,FALSE())*100/VLOOKUP(E6,A12:H26,7,FALSE())/100,"")</f>
        <v/>
      </c>
      <c r="H6" s="71"/>
      <c r="I6" s="4"/>
      <c r="J6" s="213"/>
      <c r="N6" s="35"/>
      <c r="O6" s="36"/>
      <c r="P6" s="37"/>
      <c r="Q6" s="37"/>
      <c r="R6" s="37"/>
      <c r="S6" s="38"/>
      <c r="T6" s="100"/>
      <c r="U6" s="40"/>
      <c r="V6" s="72" t="n">
        <f aca="false">O5</f>
        <v>0</v>
      </c>
      <c r="W6" s="43" t="str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str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43" t="str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43" t="str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43" t="str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/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str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62" t="str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63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3" t="str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63" t="str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63" t="str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63" t="str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63" t="str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63" t="str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63" t="str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63" t="str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63" t="str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.75" hidden="false" customHeight="false" outlineLevel="0" collapsed="false">
      <c r="A7" s="65"/>
      <c r="B7" s="73" t="s">
        <v>9</v>
      </c>
      <c r="C7" s="74" t="str">
        <f aca="false">IFERROR(VLOOKUP(C4,O:R,4,FALSE()),"")</f>
        <v/>
      </c>
      <c r="D7" s="2"/>
      <c r="E7" s="75"/>
      <c r="F7" s="76" t="str">
        <f aca="false">IFERROR(VLOOKUP(E7,A12:H26,3,FALSE())*100/VLOOKUP(E7,A12:H26,7,FALSE())/100,"")</f>
        <v/>
      </c>
      <c r="G7" s="77" t="str">
        <f aca="false">IFERROR(VLOOKUP(E7,A12:H26,8,FALSE())*100/VLOOKUP(E7,A12:H26,7,FALSE())/100,"")</f>
        <v/>
      </c>
      <c r="H7" s="71"/>
      <c r="I7" s="4"/>
      <c r="J7" s="213"/>
      <c r="N7" s="56"/>
      <c r="O7" s="57"/>
      <c r="P7" s="58"/>
      <c r="Q7" s="58"/>
      <c r="R7" s="58"/>
      <c r="S7" s="59"/>
      <c r="T7" s="78"/>
      <c r="U7" s="40"/>
      <c r="V7" s="72" t="n">
        <f aca="false">O6</f>
        <v>0</v>
      </c>
      <c r="W7" s="43" t="str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/>
      </c>
      <c r="X7" s="43" t="str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43" t="str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/>
      </c>
      <c r="Z7" s="43" t="str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43" t="str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/>
      </c>
      <c r="AB7" s="43" t="str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str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/>
      </c>
      <c r="AN7" s="62" t="str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63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3" t="str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63" t="str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/>
      </c>
      <c r="AR7" s="63" t="str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63" t="str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63" t="str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63" t="str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/>
      </c>
      <c r="AV7" s="63" t="str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63" t="str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/>
      </c>
      <c r="AX7" s="63" t="str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6.5" hidden="false" customHeight="false" outlineLevel="0" collapsed="false">
      <c r="A8" s="65"/>
      <c r="B8" s="79" t="s">
        <v>10</v>
      </c>
      <c r="C8" s="80" t="str">
        <f aca="false">IFERROR(VLOOKUP(C4,O:S,5,FALSE()),"")</f>
        <v/>
      </c>
      <c r="D8" s="2"/>
      <c r="E8" s="81"/>
      <c r="F8" s="82" t="str">
        <f aca="false">IFERROR(VLOOKUP(E8,A12:H26,3,FALSE())*100/VLOOKUP(E8,A12:H26,7,FALSE())/100,"")</f>
        <v/>
      </c>
      <c r="G8" s="83" t="str">
        <f aca="false">IFERROR(VLOOKUP(E8,A12:H26,8,FALSE())*100/VLOOKUP(E8,A12:H26,7,FALSE())/100,"")</f>
        <v/>
      </c>
      <c r="H8" s="71"/>
      <c r="I8" s="4"/>
      <c r="J8" s="213"/>
      <c r="N8" s="35"/>
      <c r="O8" s="36"/>
      <c r="P8" s="37"/>
      <c r="Q8" s="37"/>
      <c r="R8" s="37"/>
      <c r="S8" s="38"/>
      <c r="T8" s="100"/>
      <c r="U8" s="40"/>
      <c r="V8" s="72" t="n">
        <f aca="false">O7</f>
        <v>0</v>
      </c>
      <c r="W8" s="43" t="str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/>
      </c>
      <c r="X8" s="43" t="str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43" t="str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/>
      </c>
      <c r="Z8" s="43" t="str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43" t="str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/>
      </c>
      <c r="AB8" s="43" t="str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/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str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/>
      </c>
      <c r="AN8" s="62" t="str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63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3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3" t="str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/>
      </c>
      <c r="AR8" s="63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3" t="str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63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3" t="str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/>
      </c>
      <c r="AV8" s="63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3" t="str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/>
      </c>
      <c r="AX8" s="63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8" hidden="false" customHeight="false" outlineLevel="0" collapsed="false">
      <c r="A9" s="2"/>
      <c r="B9" s="2"/>
      <c r="C9" s="2"/>
      <c r="D9" s="2"/>
      <c r="E9" s="2"/>
      <c r="F9" s="2"/>
      <c r="G9" s="2"/>
      <c r="I9" s="4"/>
      <c r="J9" s="213"/>
      <c r="N9" s="56"/>
      <c r="O9" s="57"/>
      <c r="P9" s="58"/>
      <c r="Q9" s="58"/>
      <c r="R9" s="58"/>
      <c r="S9" s="59"/>
      <c r="T9" s="78"/>
      <c r="U9" s="40"/>
      <c r="V9" s="72" t="n">
        <f aca="false">O8</f>
        <v>0</v>
      </c>
      <c r="W9" s="43" t="str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/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str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/>
      </c>
      <c r="Z9" s="43" t="str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43" t="str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43" t="str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/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str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/>
      </c>
      <c r="AN9" s="62" t="str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63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3" t="str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63" t="str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/>
      </c>
      <c r="AR9" s="63" t="str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63" t="str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63" t="str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63" t="str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63" t="str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63" t="str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63" t="str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21" hidden="false" customHeight="false" outlineLevel="0" collapsed="false">
      <c r="A10" s="84" t="s">
        <v>31</v>
      </c>
      <c r="B10" s="84"/>
      <c r="C10" s="84"/>
      <c r="D10" s="84"/>
      <c r="E10" s="84"/>
      <c r="F10" s="84"/>
      <c r="G10" s="84"/>
      <c r="H10" s="85"/>
      <c r="I10" s="4"/>
      <c r="J10" s="213"/>
      <c r="N10" s="35"/>
      <c r="O10" s="36"/>
      <c r="P10" s="37"/>
      <c r="Q10" s="37"/>
      <c r="R10" s="37"/>
      <c r="S10" s="38"/>
      <c r="T10" s="100"/>
      <c r="U10" s="40"/>
      <c r="V10" s="72" t="n">
        <f aca="false">O9</f>
        <v>0</v>
      </c>
      <c r="W10" s="43" t="str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/>
      </c>
      <c r="X10" s="43" t="str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43" t="str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/>
      </c>
      <c r="Z10" s="43" t="str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43" t="str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43" t="str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str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/>
      </c>
      <c r="AN10" s="62" t="str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63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3" t="str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63" t="str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/>
      </c>
      <c r="AR10" s="63" t="str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63" t="str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63" t="str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63" t="str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63" t="str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63" t="str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63" t="str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21" hidden="false" customHeight="false" outlineLevel="0" collapsed="false">
      <c r="A11" s="86"/>
      <c r="B11" s="87" t="s">
        <v>33</v>
      </c>
      <c r="C11" s="88" t="s">
        <v>4</v>
      </c>
      <c r="D11" s="88" t="s">
        <v>34</v>
      </c>
      <c r="E11" s="89" t="s">
        <v>35</v>
      </c>
      <c r="F11" s="90" t="s">
        <v>36</v>
      </c>
      <c r="G11" s="91" t="s">
        <v>37</v>
      </c>
      <c r="H11" s="85"/>
      <c r="I11" s="4"/>
      <c r="J11" s="213"/>
      <c r="N11" s="56"/>
      <c r="O11" s="57"/>
      <c r="P11" s="58"/>
      <c r="Q11" s="58"/>
      <c r="R11" s="58"/>
      <c r="S11" s="59"/>
      <c r="T11" s="78"/>
      <c r="U11" s="40"/>
      <c r="V11" s="72" t="n">
        <f aca="false">O10</f>
        <v>0</v>
      </c>
      <c r="W11" s="43" t="str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/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str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/>
      </c>
      <c r="Z11" s="43" t="str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str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/>
      </c>
      <c r="AN11" s="62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3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3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3" t="str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/>
      </c>
      <c r="AR11" s="63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3" t="str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63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3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3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3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3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.75" hidden="false" customHeight="false" outlineLevel="0" collapsed="false">
      <c r="A12" s="92"/>
      <c r="B12" s="93"/>
      <c r="C12" s="94" t="str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/>
      </c>
      <c r="D12" s="95" t="str">
        <f aca="false">IFERROR(W30,"")</f>
        <v/>
      </c>
      <c r="E12" s="214" t="str">
        <f aca="false">IFERROR(W31,"")</f>
        <v/>
      </c>
      <c r="F12" s="215" t="str">
        <f aca="false">IFERROR(W32,"")</f>
        <v/>
      </c>
      <c r="G12" s="216" t="str">
        <f aca="false">IFERROR(W33,"")</f>
        <v/>
      </c>
      <c r="H12" s="113" t="str">
        <f aca="false">IFERROR(W28,"")</f>
        <v/>
      </c>
      <c r="I12" s="4"/>
      <c r="J12" s="213"/>
      <c r="N12" s="35"/>
      <c r="O12" s="36"/>
      <c r="P12" s="37"/>
      <c r="Q12" s="37"/>
      <c r="R12" s="37"/>
      <c r="S12" s="38"/>
      <c r="T12" s="100"/>
      <c r="U12" s="40"/>
      <c r="V12" s="72" t="n">
        <f aca="false">O11</f>
        <v>0</v>
      </c>
      <c r="W12" s="43" t="str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/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str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/>
      </c>
      <c r="Z12" s="43" t="str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str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str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/>
      </c>
      <c r="AN12" s="62" t="str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63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3" t="str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63" t="str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/>
      </c>
      <c r="AR12" s="63" t="str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63" t="str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63" t="str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63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3" t="str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63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3" t="str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.75" hidden="false" customHeight="false" outlineLevel="0" collapsed="false">
      <c r="A13" s="92"/>
      <c r="B13" s="93"/>
      <c r="C13" s="101" t="str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102" t="str">
        <f aca="false">IFERROR(X30,"")</f>
        <v/>
      </c>
      <c r="E13" s="103" t="str">
        <f aca="false">IFERROR(X31,"")</f>
        <v/>
      </c>
      <c r="F13" s="104" t="str">
        <f aca="false">IFERROR(X32,"")</f>
        <v/>
      </c>
      <c r="G13" s="105" t="str">
        <f aca="false">IFERROR(X33,"")</f>
        <v/>
      </c>
      <c r="H13" s="113" t="str">
        <f aca="false">IFERROR(X28,"")</f>
        <v/>
      </c>
      <c r="I13" s="4"/>
      <c r="J13" s="213"/>
      <c r="N13" s="56"/>
      <c r="O13" s="57"/>
      <c r="P13" s="58"/>
      <c r="Q13" s="58"/>
      <c r="R13" s="58"/>
      <c r="S13" s="59"/>
      <c r="T13" s="78"/>
      <c r="U13" s="40"/>
      <c r="V13" s="72" t="n">
        <f aca="false">O12</f>
        <v>0</v>
      </c>
      <c r="W13" s="43" t="str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43" t="str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43" t="str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/>
      </c>
      <c r="Z13" s="43" t="str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str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62" t="str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63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3" t="str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63" t="str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/>
      </c>
      <c r="AR13" s="63" t="str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63" t="str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63" t="str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63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3" t="str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63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3" t="str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.75" hidden="false" customHeight="false" outlineLevel="0" collapsed="false">
      <c r="A14" s="92"/>
      <c r="B14" s="93"/>
      <c r="C14" s="101" t="str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/>
      </c>
      <c r="D14" s="102" t="str">
        <f aca="false">IFERROR(Y30,"")</f>
        <v/>
      </c>
      <c r="E14" s="103" t="str">
        <f aca="false">IFERROR(Y31,"")</f>
        <v/>
      </c>
      <c r="F14" s="106" t="str">
        <f aca="false">IFERROR(Y32,"")</f>
        <v/>
      </c>
      <c r="G14" s="105" t="str">
        <f aca="false">IFERROR(Y33,"")</f>
        <v/>
      </c>
      <c r="H14" s="113" t="str">
        <f aca="false">IFERROR(Y28,"")</f>
        <v/>
      </c>
      <c r="I14" s="4"/>
      <c r="J14" s="213"/>
      <c r="N14" s="35"/>
      <c r="O14" s="36"/>
      <c r="P14" s="37"/>
      <c r="Q14" s="37"/>
      <c r="R14" s="37"/>
      <c r="S14" s="38"/>
      <c r="T14" s="100"/>
      <c r="U14" s="40"/>
      <c r="V14" s="72" t="n">
        <f aca="false">O13</f>
        <v>0</v>
      </c>
      <c r="W14" s="43" t="str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43" t="str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43" t="str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/>
      </c>
      <c r="Z14" s="43" t="str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/>
      </c>
      <c r="AA14" s="43" t="str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43" t="str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str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62" t="str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63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3" t="str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63" t="str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/>
      </c>
      <c r="AR14" s="63" t="str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63" t="str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/>
      </c>
      <c r="AT14" s="63" t="str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63" t="str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63" t="str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63" t="str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63" t="str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customFormat="false" ht="15.75" hidden="false" customHeight="false" outlineLevel="0" collapsed="false">
      <c r="A15" s="92"/>
      <c r="B15" s="93"/>
      <c r="C15" s="101" t="str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102" t="str">
        <f aca="false">IFERROR(Z30,"")</f>
        <v/>
      </c>
      <c r="E15" s="103" t="str">
        <f aca="false">IFERROR(Z31,"")</f>
        <v/>
      </c>
      <c r="F15" s="106" t="str">
        <f aca="false">IFERROR(Z32,"")</f>
        <v/>
      </c>
      <c r="G15" s="105" t="str">
        <f aca="false">IFERROR(Z33,"")</f>
        <v/>
      </c>
      <c r="H15" s="113" t="str">
        <f aca="false">IFERROR(Z28,"")</f>
        <v/>
      </c>
      <c r="I15" s="4"/>
      <c r="J15" s="213"/>
      <c r="N15" s="56"/>
      <c r="O15" s="57"/>
      <c r="P15" s="58"/>
      <c r="Q15" s="58"/>
      <c r="R15" s="58"/>
      <c r="S15" s="59"/>
      <c r="T15" s="78"/>
      <c r="U15" s="40"/>
      <c r="V15" s="72" t="n">
        <f aca="false">O14</f>
        <v>0</v>
      </c>
      <c r="W15" s="43" t="str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43" t="str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43" t="str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/>
      </c>
      <c r="Z15" s="43" t="str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/>
      </c>
      <c r="AA15" s="43" t="str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/>
      </c>
      <c r="AB15" s="43" t="str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/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str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62" t="str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/>
      </c>
      <c r="AO15" s="63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3" t="str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/>
      </c>
      <c r="AQ15" s="63" t="str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/>
      </c>
      <c r="AR15" s="63" t="str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/>
      </c>
      <c r="AS15" s="63" t="str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/>
      </c>
      <c r="AT15" s="63" t="str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/>
      </c>
      <c r="AU15" s="63" t="str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/>
      </c>
      <c r="AV15" s="63" t="str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/>
      </c>
      <c r="AW15" s="63" t="str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/>
      </c>
      <c r="AX15" s="63" t="str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/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customFormat="false" ht="15.75" hidden="false" customHeight="true" outlineLevel="0" collapsed="false">
      <c r="A16" s="92"/>
      <c r="B16" s="93"/>
      <c r="C16" s="101" t="str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/>
      </c>
      <c r="D16" s="102" t="str">
        <f aca="false">IFERROR(AA30,"")</f>
        <v/>
      </c>
      <c r="E16" s="103" t="str">
        <f aca="false">IFERROR(AA31,"")</f>
        <v/>
      </c>
      <c r="F16" s="106" t="str">
        <f aca="false">IFERROR(AA32,"")</f>
        <v/>
      </c>
      <c r="G16" s="105" t="str">
        <f aca="false">IFERROR(AA33,"")</f>
        <v/>
      </c>
      <c r="H16" s="113" t="str">
        <f aca="false">IFERROR(AA28,"")</f>
        <v/>
      </c>
      <c r="I16" s="4"/>
      <c r="J16" s="213"/>
      <c r="N16" s="107"/>
      <c r="O16" s="36"/>
      <c r="P16" s="37"/>
      <c r="Q16" s="37"/>
      <c r="R16" s="37"/>
      <c r="S16" s="38"/>
      <c r="T16" s="39"/>
      <c r="U16" s="40"/>
      <c r="V16" s="72" t="n">
        <f aca="false">O15</f>
        <v>0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str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43" t="str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43" t="str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43" t="str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43" t="str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/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2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3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3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3" t="str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63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3" t="str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63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3" t="str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63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3" t="str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/>
      </c>
      <c r="AX16" s="63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customFormat="false" ht="15.75" hidden="false" customHeight="true" outlineLevel="0" collapsed="false">
      <c r="A17" s="92"/>
      <c r="B17" s="93"/>
      <c r="C17" s="101" t="str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/>
      </c>
      <c r="D17" s="102" t="str">
        <f aca="false">IFERROR(AB30,"")</f>
        <v/>
      </c>
      <c r="E17" s="103" t="str">
        <f aca="false">IFERROR(AB31,"")</f>
        <v/>
      </c>
      <c r="F17" s="106" t="str">
        <f aca="false">IFERROR(AB32,"")</f>
        <v/>
      </c>
      <c r="G17" s="105" t="str">
        <f aca="false">IFERROR(AB33,"")</f>
        <v/>
      </c>
      <c r="H17" s="113" t="str">
        <f aca="false">IFERROR(AB28,"")</f>
        <v/>
      </c>
      <c r="I17" s="4"/>
      <c r="J17" s="213"/>
      <c r="N17" s="5"/>
      <c r="O17" s="57"/>
      <c r="P17" s="58"/>
      <c r="Q17" s="58"/>
      <c r="R17" s="58"/>
      <c r="S17" s="59"/>
      <c r="T17" s="108"/>
      <c r="V17" s="72" t="n">
        <f aca="false">O16</f>
        <v>0</v>
      </c>
      <c r="W17" s="43" t="str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str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/>
      </c>
      <c r="Z17" s="43" t="str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str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str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/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str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customFormat="false" ht="15.75" hidden="false" customHeight="false" outlineLevel="0" collapsed="false">
      <c r="A18" s="92"/>
      <c r="B18" s="93"/>
      <c r="C18" s="101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2" t="str">
        <f aca="false">IFERROR(AC30,"")</f>
        <v/>
      </c>
      <c r="E18" s="103" t="str">
        <f aca="false">IFERROR(AC31,"")</f>
        <v/>
      </c>
      <c r="F18" s="106" t="str">
        <f aca="false">IFERROR(AC32,"")</f>
        <v/>
      </c>
      <c r="G18" s="105" t="str">
        <f aca="false">IFERROR(AC33,"")</f>
        <v/>
      </c>
      <c r="H18" s="113" t="str">
        <f aca="false">IFERROR(AC28,"")</f>
        <v/>
      </c>
      <c r="I18" s="4"/>
      <c r="J18" s="213"/>
      <c r="N18" s="5"/>
      <c r="O18" s="36"/>
      <c r="P18" s="37"/>
      <c r="Q18" s="37"/>
      <c r="R18" s="37"/>
      <c r="S18" s="38"/>
      <c r="T18" s="109"/>
      <c r="V18" s="72" t="n">
        <f aca="false">O17</f>
        <v>0</v>
      </c>
      <c r="W18" s="43" t="str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str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/>
      </c>
      <c r="Z18" s="43" t="str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/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str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62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3" t="str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/>
      </c>
      <c r="AR18" s="63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3" t="str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/>
      </c>
      <c r="AT18" s="63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3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3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3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3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customFormat="false" ht="15.75" hidden="false" customHeight="false" outlineLevel="0" collapsed="false">
      <c r="A19" s="92"/>
      <c r="B19" s="93"/>
      <c r="C19" s="101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2" t="str">
        <f aca="false">IFERROR(AD30,"")</f>
        <v/>
      </c>
      <c r="E19" s="103" t="str">
        <f aca="false">IFERROR(AD31,"")</f>
        <v/>
      </c>
      <c r="F19" s="106" t="str">
        <f aca="false">IFERROR(AD32,"")</f>
        <v/>
      </c>
      <c r="G19" s="105" t="str">
        <f aca="false">IFERROR(AD33,"")</f>
        <v/>
      </c>
      <c r="H19" s="113" t="str">
        <f aca="false">IFERROR(AD28,"")</f>
        <v/>
      </c>
      <c r="I19" s="4"/>
      <c r="J19" s="213"/>
      <c r="N19" s="5"/>
      <c r="O19" s="57"/>
      <c r="P19" s="58"/>
      <c r="Q19" s="58"/>
      <c r="R19" s="58"/>
      <c r="S19" s="59"/>
      <c r="T19" s="108"/>
      <c r="V19" s="72" t="n">
        <f aca="false">O18</f>
        <v>0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3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3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3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3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3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3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3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3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3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3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customFormat="false" ht="15.75" hidden="false" customHeight="false" outlineLevel="0" collapsed="false">
      <c r="A20" s="92"/>
      <c r="B20" s="93"/>
      <c r="C20" s="101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2" t="str">
        <f aca="false">IFERROR(AE30,"")</f>
        <v/>
      </c>
      <c r="E20" s="103" t="str">
        <f aca="false">IFERROR(AE31,"")</f>
        <v/>
      </c>
      <c r="F20" s="106" t="str">
        <f aca="false">IFERROR(AE32,"")</f>
        <v/>
      </c>
      <c r="G20" s="105" t="str">
        <f aca="false">IFERROR(AE33,"")</f>
        <v/>
      </c>
      <c r="H20" s="113" t="str">
        <f aca="false">IFERROR(AE28,"")</f>
        <v/>
      </c>
      <c r="I20" s="4"/>
      <c r="J20" s="213"/>
      <c r="N20" s="5"/>
      <c r="O20" s="36"/>
      <c r="P20" s="37"/>
      <c r="Q20" s="37"/>
      <c r="R20" s="37"/>
      <c r="S20" s="38"/>
      <c r="T20" s="109"/>
      <c r="V20" s="72" t="n">
        <f aca="false">O19</f>
        <v>0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3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3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3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3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3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3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3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3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customFormat="false" ht="15.75" hidden="false" customHeight="false" outlineLevel="0" collapsed="false">
      <c r="A21" s="92"/>
      <c r="B21" s="93"/>
      <c r="C21" s="101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2" t="str">
        <f aca="false">IFERROR(AF30,"")</f>
        <v/>
      </c>
      <c r="E21" s="103" t="str">
        <f aca="false">IFERROR(AF31,"")</f>
        <v/>
      </c>
      <c r="F21" s="106" t="str">
        <f aca="false">IFERROR(AF32,"")</f>
        <v/>
      </c>
      <c r="G21" s="105" t="str">
        <f aca="false">IFERROR(AF33,"")</f>
        <v/>
      </c>
      <c r="H21" s="113" t="str">
        <f aca="false">IFERROR(AF28,"")</f>
        <v/>
      </c>
      <c r="I21" s="4"/>
      <c r="J21" s="213"/>
      <c r="N21" s="5"/>
      <c r="O21" s="57"/>
      <c r="P21" s="58"/>
      <c r="Q21" s="58"/>
      <c r="R21" s="58"/>
      <c r="S21" s="59"/>
      <c r="T21" s="78"/>
      <c r="V21" s="72" t="n">
        <f aca="false">O20</f>
        <v>0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str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2" t="str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63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3" t="str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63" t="str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63" t="str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63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3" t="str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63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3" t="str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63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3" t="str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customFormat="false" ht="15.75" hidden="false" customHeight="false" outlineLevel="0" collapsed="false">
      <c r="A22" s="92"/>
      <c r="B22" s="93"/>
      <c r="C22" s="101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2" t="str">
        <f aca="false">IFERROR(AG30,"")</f>
        <v/>
      </c>
      <c r="E22" s="103" t="str">
        <f aca="false">IFERROR(AG31,"")</f>
        <v/>
      </c>
      <c r="F22" s="106" t="str">
        <f aca="false">IFERROR(AG32,"")</f>
        <v/>
      </c>
      <c r="G22" s="105" t="str">
        <f aca="false">IFERROR(AG33,"")</f>
        <v/>
      </c>
      <c r="H22" s="113" t="str">
        <f aca="false">IFERROR(AG28,"")</f>
        <v/>
      </c>
      <c r="I22" s="4"/>
      <c r="J22" s="213"/>
      <c r="N22" s="5"/>
      <c r="O22" s="36"/>
      <c r="P22" s="37"/>
      <c r="Q22" s="37"/>
      <c r="R22" s="37"/>
      <c r="S22" s="38"/>
      <c r="T22" s="100"/>
      <c r="V22" s="72" t="n">
        <f aca="false">O21</f>
        <v>0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str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63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3" t="str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63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3" t="str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str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str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str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customFormat="false" ht="15.75" hidden="false" customHeight="false" outlineLevel="0" collapsed="false">
      <c r="A23" s="92"/>
      <c r="B23" s="93"/>
      <c r="C23" s="101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2" t="str">
        <f aca="false">IFERROR(AH30,"")</f>
        <v/>
      </c>
      <c r="E23" s="103" t="str">
        <f aca="false">IFERROR(AH31,"")</f>
        <v/>
      </c>
      <c r="F23" s="106" t="str">
        <f aca="false">IFERROR(AH32,"")</f>
        <v/>
      </c>
      <c r="G23" s="105" t="str">
        <f aca="false">IFERROR(AH33,"")</f>
        <v/>
      </c>
      <c r="H23" s="113" t="str">
        <f aca="false">IFERROR(AH28,"")</f>
        <v/>
      </c>
      <c r="I23" s="4"/>
      <c r="J23" s="213"/>
      <c r="N23" s="5"/>
      <c r="O23" s="57"/>
      <c r="P23" s="58"/>
      <c r="Q23" s="58"/>
      <c r="R23" s="58"/>
      <c r="S23" s="59"/>
      <c r="T23" s="78"/>
      <c r="V23" s="72" t="n">
        <f aca="false">O22</f>
        <v>0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str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str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2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3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3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3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3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3" t="str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63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3" t="str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63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customFormat="false" ht="15.75" hidden="false" customHeight="false" outlineLevel="0" collapsed="false">
      <c r="A24" s="92"/>
      <c r="B24" s="93"/>
      <c r="C24" s="101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2" t="str">
        <f aca="false">IFERROR(AI30,"")</f>
        <v/>
      </c>
      <c r="E24" s="103" t="str">
        <f aca="false">IFERROR(AI31,"")</f>
        <v/>
      </c>
      <c r="F24" s="106" t="str">
        <f aca="false">IFERROR(AI32,"")</f>
        <v/>
      </c>
      <c r="G24" s="105" t="str">
        <f aca="false">IFERROR(AI33,"")</f>
        <v/>
      </c>
      <c r="H24" s="113" t="str">
        <f aca="false">IFERROR(AI28,"")</f>
        <v/>
      </c>
      <c r="I24" s="4"/>
      <c r="J24" s="213"/>
      <c r="N24" s="5"/>
      <c r="O24" s="36"/>
      <c r="P24" s="37"/>
      <c r="Q24" s="37"/>
      <c r="R24" s="37"/>
      <c r="S24" s="38"/>
      <c r="T24" s="100"/>
      <c r="V24" s="72" t="n">
        <f aca="false">O23</f>
        <v>0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2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3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3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3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3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3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3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3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3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customFormat="false" ht="15.75" hidden="false" customHeight="false" outlineLevel="0" collapsed="false">
      <c r="A25" s="92"/>
      <c r="B25" s="93"/>
      <c r="C25" s="101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2" t="str">
        <f aca="false">IFERROR(AJ30,"")</f>
        <v/>
      </c>
      <c r="E25" s="103" t="str">
        <f aca="false">IFERROR(AJ31,"")</f>
        <v/>
      </c>
      <c r="F25" s="106" t="str">
        <f aca="false">IFERROR(AJ32,"")</f>
        <v/>
      </c>
      <c r="G25" s="105" t="str">
        <f aca="false">IFERROR(AJ33,"")</f>
        <v/>
      </c>
      <c r="H25" s="113" t="str">
        <f aca="false">IFERROR(AJ28,"")</f>
        <v/>
      </c>
      <c r="I25" s="4"/>
      <c r="J25" s="213"/>
      <c r="N25" s="5"/>
      <c r="O25" s="57"/>
      <c r="P25" s="58"/>
      <c r="Q25" s="58"/>
      <c r="R25" s="58"/>
      <c r="S25" s="59"/>
      <c r="T25" s="78"/>
      <c r="V25" s="72" t="n">
        <f aca="false">O24</f>
        <v>0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2" t="str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str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63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3" t="str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63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3" t="str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str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str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customFormat="false" ht="15.75" hidden="false" customHeight="true" outlineLevel="0" collapsed="false">
      <c r="A26" s="114"/>
      <c r="B26" s="115"/>
      <c r="C26" s="116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7" t="str">
        <f aca="false">IFERROR(AK30,"")</f>
        <v/>
      </c>
      <c r="E26" s="118" t="str">
        <f aca="false">IFERROR(AK31,"")</f>
        <v/>
      </c>
      <c r="F26" s="119" t="str">
        <f aca="false">IFERROR(AK32,"")</f>
        <v/>
      </c>
      <c r="G26" s="120" t="str">
        <f aca="false">IFERROR(AK33,"")</f>
        <v/>
      </c>
      <c r="H26" s="113" t="str">
        <f aca="false">IFERROR(AK28,"")</f>
        <v/>
      </c>
      <c r="I26" s="209"/>
      <c r="J26" s="210"/>
      <c r="K26" s="209"/>
      <c r="L26" s="209"/>
      <c r="N26" s="5"/>
      <c r="O26" s="36"/>
      <c r="P26" s="122"/>
      <c r="Q26" s="122"/>
      <c r="R26" s="122"/>
      <c r="S26" s="123"/>
      <c r="T26" s="100"/>
      <c r="V26" s="72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124"/>
      <c r="I27" s="5"/>
      <c r="J27" s="211"/>
      <c r="K27" s="5"/>
      <c r="L27" s="5"/>
      <c r="N27" s="125" t="s">
        <v>55</v>
      </c>
      <c r="O27" s="126" t="str">
        <f aca="false">IF(COUNTA(O2:O26)=0,"",COUNTA(O2:O26))</f>
        <v/>
      </c>
      <c r="P27" s="127" t="s">
        <v>56</v>
      </c>
      <c r="Q27" s="127"/>
      <c r="R27" s="128" t="str">
        <f aca="false">IFERROR(AVERAGE(R2:R26),"")</f>
        <v/>
      </c>
      <c r="S27" s="129" t="str">
        <f aca="false">IFERROR(AVERAGE(S2:S26),"")</f>
        <v/>
      </c>
      <c r="T27" s="78"/>
      <c r="V27" s="72" t="n">
        <f aca="false">O26</f>
        <v>0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0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0"/>
      <c r="BR27" s="130"/>
      <c r="BS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G27" s="131"/>
      <c r="EH27" s="131"/>
      <c r="EI27" s="131"/>
      <c r="EJ27" s="131"/>
      <c r="EK27" s="131"/>
      <c r="EL27" s="131"/>
      <c r="EM27" s="131"/>
      <c r="EN27" s="131"/>
      <c r="EO27" s="131"/>
      <c r="EP27" s="131"/>
      <c r="EQ27" s="131"/>
      <c r="ER27" s="131"/>
      <c r="ES27" s="131"/>
      <c r="ET27" s="131"/>
      <c r="EU27" s="131"/>
      <c r="EW27" s="131"/>
      <c r="EX27" s="131"/>
      <c r="EY27" s="131"/>
      <c r="EZ27" s="131"/>
      <c r="FA27" s="131"/>
      <c r="FB27" s="131"/>
      <c r="FC27" s="131"/>
      <c r="FD27" s="131"/>
      <c r="FE27" s="131"/>
      <c r="FF27" s="131"/>
      <c r="FG27" s="131"/>
      <c r="FH27" s="131"/>
      <c r="FI27" s="131"/>
      <c r="FJ27" s="131"/>
      <c r="FK27" s="131"/>
      <c r="FM27" s="131"/>
      <c r="FN27" s="131"/>
      <c r="FO27" s="131"/>
      <c r="FP27" s="131"/>
      <c r="FQ27" s="131"/>
      <c r="FR27" s="131"/>
      <c r="FS27" s="131"/>
      <c r="FT27" s="131"/>
      <c r="FU27" s="131"/>
      <c r="FV27" s="131"/>
      <c r="FW27" s="131"/>
      <c r="FX27" s="131"/>
      <c r="FY27" s="131"/>
      <c r="FZ27" s="131"/>
      <c r="GA27" s="131"/>
      <c r="GC27" s="131"/>
      <c r="GD27" s="131"/>
      <c r="GE27" s="131"/>
      <c r="GF27" s="131"/>
      <c r="GG27" s="131"/>
      <c r="GH27" s="131"/>
      <c r="GI27" s="131"/>
      <c r="GJ27" s="131"/>
      <c r="GK27" s="131"/>
      <c r="GL27" s="131"/>
      <c r="GM27" s="131"/>
      <c r="GN27" s="131"/>
      <c r="GO27" s="131"/>
      <c r="GP27" s="131"/>
      <c r="GQ27" s="131"/>
      <c r="GS27" s="131"/>
      <c r="GT27" s="131"/>
      <c r="GU27" s="131"/>
      <c r="GV27" s="131"/>
      <c r="GW27" s="131"/>
      <c r="GX27" s="131"/>
      <c r="GY27" s="131"/>
      <c r="GZ27" s="131"/>
      <c r="HA27" s="131"/>
      <c r="HB27" s="131"/>
      <c r="HC27" s="131"/>
      <c r="HD27" s="131"/>
      <c r="HE27" s="131"/>
      <c r="HF27" s="131"/>
      <c r="HG27" s="131"/>
      <c r="HI27" s="131"/>
      <c r="HJ27" s="131"/>
      <c r="HK27" s="131"/>
      <c r="HL27" s="131"/>
      <c r="HM27" s="131"/>
      <c r="HN27" s="131"/>
      <c r="HO27" s="131"/>
      <c r="HP27" s="131"/>
      <c r="HQ27" s="131"/>
      <c r="HR27" s="131"/>
      <c r="HS27" s="131"/>
      <c r="HT27" s="131"/>
      <c r="HU27" s="131"/>
      <c r="HV27" s="131"/>
      <c r="HW27" s="131"/>
      <c r="HY27" s="131"/>
      <c r="HZ27" s="131"/>
      <c r="IA27" s="131"/>
      <c r="IB27" s="131"/>
      <c r="IC27" s="131"/>
      <c r="ID27" s="131"/>
      <c r="IE27" s="131"/>
      <c r="IF27" s="131"/>
      <c r="IG27" s="131"/>
      <c r="IH27" s="131"/>
      <c r="II27" s="131"/>
      <c r="IJ27" s="131"/>
      <c r="IK27" s="131"/>
      <c r="IL27" s="131"/>
      <c r="IM27" s="131"/>
      <c r="IO27" s="131"/>
      <c r="IP27" s="131"/>
      <c r="IQ27" s="131"/>
      <c r="IR27" s="131"/>
      <c r="IS27" s="131"/>
      <c r="IT27" s="131"/>
      <c r="IU27" s="132"/>
      <c r="IV27" s="132"/>
      <c r="IW27" s="132"/>
      <c r="IX27" s="132"/>
      <c r="IY27" s="132"/>
      <c r="IZ27" s="132"/>
      <c r="JA27" s="132"/>
      <c r="JB27" s="132"/>
      <c r="JC27" s="132"/>
    </row>
    <row r="28" customFormat="false" ht="21" hidden="false" customHeight="false" outlineLevel="0" collapsed="false">
      <c r="A28" s="84" t="s">
        <v>57</v>
      </c>
      <c r="B28" s="84"/>
      <c r="C28" s="84"/>
      <c r="D28" s="84"/>
      <c r="E28" s="84"/>
      <c r="F28" s="84"/>
      <c r="G28" s="84"/>
      <c r="H28" s="85"/>
      <c r="I28" s="209"/>
      <c r="J28" s="210"/>
      <c r="K28" s="209"/>
      <c r="L28" s="209"/>
      <c r="N28" s="133"/>
      <c r="O28" s="133"/>
      <c r="P28" s="134" t="s">
        <v>58</v>
      </c>
      <c r="Q28" s="134"/>
      <c r="R28" s="135" t="str">
        <f aca="false">IFERROR(STDEV(R2:R26),"")</f>
        <v/>
      </c>
      <c r="S28" s="136" t="str">
        <f aca="false">IFERROR(STDEV(S2:S26),"")</f>
        <v/>
      </c>
      <c r="T28" s="100"/>
      <c r="V28" s="137" t="s">
        <v>59</v>
      </c>
      <c r="W28" s="138" t="str">
        <f aca="false">IFERROR(AVERAGE(W3:W27),"")</f>
        <v/>
      </c>
      <c r="X28" s="138" t="str">
        <f aca="false">IFERROR(AVERAGE(X3:X27),"")</f>
        <v/>
      </c>
      <c r="Y28" s="138" t="str">
        <f aca="false">IFERROR(AVERAGE(Y3:Y27),"")</f>
        <v/>
      </c>
      <c r="Z28" s="138" t="str">
        <f aca="false">IFERROR(AVERAGE(Z3:Z27),"")</f>
        <v/>
      </c>
      <c r="AA28" s="138" t="str">
        <f aca="false">IFERROR(AVERAGE(AA3:AA27),"")</f>
        <v/>
      </c>
      <c r="AB28" s="138" t="str">
        <f aca="false">IFERROR(AVERAGE(AB3:AB27),"")</f>
        <v/>
      </c>
      <c r="AC28" s="138" t="str">
        <f aca="false">IFERROR(AVERAGE(AC3:AC27),"")</f>
        <v/>
      </c>
      <c r="AD28" s="138" t="str">
        <f aca="false">IFERROR(AVERAGE(AD3:AD27),"")</f>
        <v/>
      </c>
      <c r="AE28" s="138" t="str">
        <f aca="false">IFERROR(AVERAGE(AE3:AE27),"")</f>
        <v/>
      </c>
      <c r="AF28" s="138" t="str">
        <f aca="false">IFERROR(AVERAGE(AF3:AF27),"")</f>
        <v/>
      </c>
      <c r="AG28" s="138" t="str">
        <f aca="false">IFERROR(AVERAGE(AG3:AG27),"")</f>
        <v/>
      </c>
      <c r="AH28" s="138" t="str">
        <f aca="false">IFERROR(AVERAGE(AH3:AH27),"")</f>
        <v/>
      </c>
      <c r="AI28" s="138" t="str">
        <f aca="false">IFERROR(AVERAGE(AI3:AI27),"")</f>
        <v/>
      </c>
      <c r="AJ28" s="138" t="str">
        <f aca="false">IFERROR(AVERAGE(AJ3:AJ27),"")</f>
        <v/>
      </c>
      <c r="AK28" s="138" t="str">
        <f aca="false">IFERROR(AVERAGE(AK3:AK27),"")</f>
        <v/>
      </c>
      <c r="AL28" s="130"/>
      <c r="AM28" s="138" t="str">
        <f aca="false">IFERROR(AVERAGE(AM3:AM27),"")</f>
        <v/>
      </c>
      <c r="AN28" s="139" t="str">
        <f aca="false">IFERROR(AVERAGE(AN3:AN27),"")</f>
        <v/>
      </c>
      <c r="AO28" s="139" t="str">
        <f aca="false">IFERROR(AVERAGE(AO3:AO27),"")</f>
        <v/>
      </c>
      <c r="AP28" s="139" t="str">
        <f aca="false">IFERROR(AVERAGE(AP3:AP27),"")</f>
        <v/>
      </c>
      <c r="AQ28" s="139" t="str">
        <f aca="false">IFERROR(AVERAGE(AQ3:AQ27),"")</f>
        <v/>
      </c>
      <c r="AR28" s="139" t="str">
        <f aca="false">IFERROR(AVERAGE(AR3:AR27),"")</f>
        <v/>
      </c>
      <c r="AS28" s="139" t="str">
        <f aca="false">IFERROR(AVERAGE(AS3:AS27),"")</f>
        <v/>
      </c>
      <c r="AT28" s="139" t="str">
        <f aca="false">IFERROR(AVERAGE(AT3:AT27),"")</f>
        <v/>
      </c>
      <c r="AU28" s="139" t="str">
        <f aca="false">IFERROR(AVERAGE(AU3:AU27),"")</f>
        <v/>
      </c>
      <c r="AV28" s="139" t="str">
        <f aca="false">IFERROR(AVERAGE(AV3:AV27),"")</f>
        <v/>
      </c>
      <c r="AW28" s="139" t="str">
        <f aca="false">IFERROR(AVERAGE(AW3:AW27),"")</f>
        <v/>
      </c>
      <c r="AX28" s="139" t="str">
        <f aca="false">IFERROR(AVERAGE(AX3:AX27),"")</f>
        <v/>
      </c>
      <c r="AY28" s="139" t="str">
        <f aca="false">IFERROR(AVERAGE(AY3:AY27),"")</f>
        <v/>
      </c>
      <c r="AZ28" s="139" t="str">
        <f aca="false">IFERROR(AVERAGE(AZ3:AZ27),"")</f>
        <v/>
      </c>
      <c r="BA28" s="139" t="str">
        <f aca="false">IFERROR(AVERAGE(BA3:BA27),"")</f>
        <v/>
      </c>
      <c r="BB28" s="139" t="str">
        <f aca="false">IFERROR(AVERAGE(BB3:BB27),"")</f>
        <v/>
      </c>
      <c r="BC28" s="139" t="str">
        <f aca="false">IFERROR(AVERAGE(BC3:BC27),"")</f>
        <v/>
      </c>
      <c r="BD28" s="139" t="str">
        <f aca="false">IFERROR(AVERAGE(BD3:BD27),"")</f>
        <v/>
      </c>
      <c r="BE28" s="139" t="str">
        <f aca="false">IFERROR(AVERAGE(BE3:BE27),"")</f>
        <v/>
      </c>
      <c r="BF28" s="139" t="str">
        <f aca="false">IFERROR(AVERAGE(BF3:BF27),"")</f>
        <v/>
      </c>
      <c r="BG28" s="139" t="str">
        <f aca="false">IFERROR(AVERAGE(BG3:BG27),"")</f>
        <v/>
      </c>
      <c r="BH28" s="139" t="str">
        <f aca="false">IFERROR(AVERAGE(BH3:BH27),"")</f>
        <v/>
      </c>
      <c r="BI28" s="139" t="str">
        <f aca="false">IFERROR(AVERAGE(BI3:BI27),"")</f>
        <v/>
      </c>
      <c r="BJ28" s="139" t="str">
        <f aca="false">IFERROR(AVERAGE(BJ3:BJ27),"")</f>
        <v/>
      </c>
      <c r="BK28" s="139" t="str">
        <f aca="false">IFERROR(AVERAGE(BK3:BK27),"")</f>
        <v/>
      </c>
      <c r="BL28" s="139" t="str">
        <f aca="false">IFERROR(AVERAGE(BL3:BL27),"")</f>
        <v/>
      </c>
      <c r="BM28" s="139" t="str">
        <f aca="false">IFERROR(AVERAGE(BM3:BM27),"")</f>
        <v/>
      </c>
      <c r="BN28" s="139" t="str">
        <f aca="false">IFERROR(AVERAGE(BN3:BN27),"")</f>
        <v/>
      </c>
      <c r="BO28" s="139" t="str">
        <f aca="false">IFERROR(AVERAGE(BO3:BO27),"")</f>
        <v/>
      </c>
      <c r="BP28" s="139" t="str">
        <f aca="false">IFERROR(AVERAGE(BP3:BP27),"")</f>
        <v/>
      </c>
      <c r="BQ28" s="140" t="str">
        <f aca="false">IFERROR(AVERAGE(BQ3:BQ27),"")</f>
        <v/>
      </c>
      <c r="BR28" s="130"/>
      <c r="BS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G28" s="131"/>
      <c r="EH28" s="131"/>
      <c r="EI28" s="131"/>
      <c r="EJ28" s="131"/>
      <c r="EK28" s="131"/>
      <c r="EL28" s="131"/>
      <c r="EM28" s="131"/>
      <c r="EN28" s="131"/>
      <c r="EO28" s="131"/>
      <c r="EP28" s="131"/>
      <c r="EQ28" s="131"/>
      <c r="ER28" s="131"/>
      <c r="ES28" s="131"/>
      <c r="ET28" s="131"/>
      <c r="EU28" s="131"/>
      <c r="EW28" s="131"/>
      <c r="EX28" s="131"/>
      <c r="EY28" s="131"/>
      <c r="EZ28" s="131"/>
      <c r="FA28" s="131"/>
      <c r="FB28" s="131"/>
      <c r="FC28" s="131"/>
      <c r="FD28" s="131"/>
      <c r="FE28" s="131"/>
      <c r="FF28" s="131"/>
      <c r="FG28" s="131"/>
      <c r="FH28" s="131"/>
      <c r="FI28" s="131"/>
      <c r="FJ28" s="131"/>
      <c r="FK28" s="131"/>
      <c r="FM28" s="131"/>
      <c r="FN28" s="131"/>
      <c r="FO28" s="131"/>
      <c r="FP28" s="131"/>
      <c r="FQ28" s="131"/>
      <c r="FR28" s="131"/>
      <c r="FS28" s="131"/>
      <c r="FT28" s="131"/>
      <c r="FU28" s="131"/>
      <c r="FV28" s="131"/>
      <c r="FW28" s="131"/>
      <c r="FX28" s="131"/>
      <c r="FY28" s="131"/>
      <c r="FZ28" s="131"/>
      <c r="GA28" s="131"/>
      <c r="GC28" s="131"/>
      <c r="GD28" s="131"/>
      <c r="GE28" s="131"/>
      <c r="GF28" s="131"/>
      <c r="GG28" s="131"/>
      <c r="GH28" s="131"/>
      <c r="GI28" s="131"/>
      <c r="GJ28" s="131"/>
      <c r="GK28" s="131"/>
      <c r="GL28" s="131"/>
      <c r="GM28" s="131"/>
      <c r="GN28" s="131"/>
      <c r="GO28" s="131"/>
      <c r="GP28" s="131"/>
      <c r="GQ28" s="131"/>
      <c r="GS28" s="131"/>
      <c r="GT28" s="131"/>
      <c r="GU28" s="131"/>
      <c r="GV28" s="131"/>
      <c r="GW28" s="131"/>
      <c r="GX28" s="131"/>
      <c r="GY28" s="131"/>
      <c r="GZ28" s="131"/>
      <c r="HA28" s="131"/>
      <c r="HB28" s="131"/>
      <c r="HC28" s="131"/>
      <c r="HD28" s="131"/>
      <c r="HE28" s="131"/>
      <c r="HF28" s="131"/>
      <c r="HG28" s="131"/>
      <c r="HI28" s="131"/>
      <c r="HJ28" s="131"/>
      <c r="HK28" s="131"/>
      <c r="HL28" s="131"/>
      <c r="HM28" s="131"/>
      <c r="HN28" s="131"/>
      <c r="HO28" s="131"/>
      <c r="HP28" s="131"/>
      <c r="HQ28" s="131"/>
      <c r="HR28" s="131"/>
      <c r="HS28" s="131"/>
      <c r="HT28" s="131"/>
      <c r="HU28" s="131"/>
      <c r="HV28" s="131"/>
      <c r="HW28" s="131"/>
      <c r="HY28" s="131"/>
      <c r="HZ28" s="131"/>
      <c r="IA28" s="131"/>
      <c r="IB28" s="131"/>
      <c r="IC28" s="131"/>
      <c r="ID28" s="131"/>
      <c r="IE28" s="131"/>
      <c r="IF28" s="131"/>
      <c r="IG28" s="131"/>
      <c r="IH28" s="131"/>
      <c r="II28" s="131"/>
      <c r="IJ28" s="131"/>
      <c r="IK28" s="131"/>
      <c r="IL28" s="131"/>
      <c r="IM28" s="131"/>
      <c r="IO28" s="131"/>
      <c r="IP28" s="131"/>
      <c r="IQ28" s="131"/>
      <c r="IR28" s="131"/>
      <c r="IS28" s="131"/>
      <c r="IT28" s="131"/>
      <c r="IU28" s="132"/>
      <c r="IV28" s="132"/>
      <c r="IW28" s="132"/>
      <c r="IX28" s="132"/>
      <c r="IY28" s="132"/>
      <c r="IZ28" s="132"/>
      <c r="JA28" s="132"/>
      <c r="JB28" s="132"/>
      <c r="JC28" s="132"/>
    </row>
    <row r="29" customFormat="false" ht="18" hidden="false" customHeight="false" outlineLevel="0" collapsed="false">
      <c r="A29" s="141"/>
      <c r="B29" s="142"/>
      <c r="C29" s="142"/>
      <c r="D29" s="142"/>
      <c r="E29" s="142"/>
      <c r="F29" s="142"/>
      <c r="G29" s="143"/>
      <c r="I29" s="5"/>
      <c r="J29" s="211"/>
      <c r="K29" s="5"/>
      <c r="L29" s="5"/>
      <c r="N29" s="45"/>
      <c r="O29" s="45"/>
      <c r="P29" s="45"/>
      <c r="Q29" s="45"/>
      <c r="R29" s="45"/>
      <c r="S29" s="45"/>
      <c r="T29" s="78"/>
      <c r="V29" s="137" t="s">
        <v>58</v>
      </c>
      <c r="W29" s="138" t="str">
        <f aca="false">IFERROR(STDEV(W3:W27),"")</f>
        <v/>
      </c>
      <c r="X29" s="138" t="str">
        <f aca="false">IFERROR(STDEV(X3:X27),"")</f>
        <v/>
      </c>
      <c r="Y29" s="138" t="str">
        <f aca="false">IFERROR(STDEV(Y3:Y27),"")</f>
        <v/>
      </c>
      <c r="Z29" s="138" t="str">
        <f aca="false">IFERROR(STDEV(Z3:Z27),"")</f>
        <v/>
      </c>
      <c r="AA29" s="138" t="str">
        <f aca="false">IFERROR(STDEV(AA3:AA27),"")</f>
        <v/>
      </c>
      <c r="AB29" s="138" t="str">
        <f aca="false">IFERROR(STDEV(AB3:AB27),"")</f>
        <v/>
      </c>
      <c r="AC29" s="138" t="str">
        <f aca="false">IFERROR(STDEV(AC3:AC27),"")</f>
        <v/>
      </c>
      <c r="AD29" s="138" t="str">
        <f aca="false">IFERROR(STDEV(AD3:AD27),"")</f>
        <v/>
      </c>
      <c r="AE29" s="138" t="str">
        <f aca="false">IFERROR(STDEV(AE3:AE27),"")</f>
        <v/>
      </c>
      <c r="AF29" s="138" t="str">
        <f aca="false">IFERROR(STDEV(AF3:AF27),"")</f>
        <v/>
      </c>
      <c r="AG29" s="138" t="str">
        <f aca="false">IFERROR(STDEV(AG3:AG27),"")</f>
        <v/>
      </c>
      <c r="AH29" s="138" t="str">
        <f aca="false">IFERROR(STDEV(AH3:AH27),"")</f>
        <v/>
      </c>
      <c r="AI29" s="138" t="str">
        <f aca="false">IFERROR(STDEV(AI3:AI27),"")</f>
        <v/>
      </c>
      <c r="AJ29" s="138" t="str">
        <f aca="false">IFERROR(STDEV(AJ3:AJ27),"")</f>
        <v/>
      </c>
      <c r="AK29" s="138" t="str">
        <f aca="false">IFERROR(STDEV(AK3:AK27),"")</f>
        <v/>
      </c>
      <c r="AL29" s="144"/>
      <c r="AM29" s="138" t="str">
        <f aca="false">IFERROR(STDEV(AM3:AM27),"")</f>
        <v/>
      </c>
      <c r="AN29" s="139" t="str">
        <f aca="false">IFERROR(STDEV(AN3:AN27),"")</f>
        <v/>
      </c>
      <c r="AO29" s="139" t="str">
        <f aca="false">IFERROR(STDEV(AO3:AO27),"")</f>
        <v/>
      </c>
      <c r="AP29" s="139" t="str">
        <f aca="false">IFERROR(STDEV(AP3:AP27),"")</f>
        <v/>
      </c>
      <c r="AQ29" s="139" t="str">
        <f aca="false">IFERROR(STDEV(AQ3:AQ27),"")</f>
        <v/>
      </c>
      <c r="AR29" s="139" t="str">
        <f aca="false">IFERROR(STDEV(AR3:AR27),"")</f>
        <v/>
      </c>
      <c r="AS29" s="139" t="str">
        <f aca="false">IFERROR(STDEV(AS3:AS27),"")</f>
        <v/>
      </c>
      <c r="AT29" s="139" t="str">
        <f aca="false">IFERROR(STDEV(AT3:AT27),"")</f>
        <v/>
      </c>
      <c r="AU29" s="139" t="str">
        <f aca="false">IFERROR(STDEV(AU3:AU27),"")</f>
        <v/>
      </c>
      <c r="AV29" s="139" t="str">
        <f aca="false">IFERROR(STDEV(AV3:AV27),"")</f>
        <v/>
      </c>
      <c r="AW29" s="139" t="str">
        <f aca="false">IFERROR(STDEV(AW3:AW27),"")</f>
        <v/>
      </c>
      <c r="AX29" s="139" t="str">
        <f aca="false">IFERROR(STDEV(AX3:AX27),"")</f>
        <v/>
      </c>
      <c r="AY29" s="139" t="str">
        <f aca="false">IFERROR(STDEV(AY3:AY27),"")</f>
        <v/>
      </c>
      <c r="AZ29" s="139" t="str">
        <f aca="false">IFERROR(STDEV(AZ3:AZ27),"")</f>
        <v/>
      </c>
      <c r="BA29" s="139" t="str">
        <f aca="false">IFERROR(STDEV(BA3:BA27),"")</f>
        <v/>
      </c>
      <c r="BB29" s="139" t="str">
        <f aca="false">IFERROR(STDEV(BB3:BB27),"")</f>
        <v/>
      </c>
      <c r="BC29" s="139" t="str">
        <f aca="false">IFERROR(STDEV(BC3:BC27),"")</f>
        <v/>
      </c>
      <c r="BD29" s="139" t="str">
        <f aca="false">IFERROR(STDEV(BD3:BD27),"")</f>
        <v/>
      </c>
      <c r="BE29" s="139" t="str">
        <f aca="false">IFERROR(STDEV(BE3:BE27),"")</f>
        <v/>
      </c>
      <c r="BF29" s="139" t="str">
        <f aca="false">IFERROR(STDEV(BF3:BF27),"")</f>
        <v/>
      </c>
      <c r="BG29" s="139" t="str">
        <f aca="false">IFERROR(STDEV(BG3:BG27),"")</f>
        <v/>
      </c>
      <c r="BH29" s="139" t="str">
        <f aca="false">IFERROR(STDEV(BH3:BH27),"")</f>
        <v/>
      </c>
      <c r="BI29" s="139" t="str">
        <f aca="false">IFERROR(STDEV(BI3:BI27),"")</f>
        <v/>
      </c>
      <c r="BJ29" s="139" t="str">
        <f aca="false">IFERROR(STDEV(BJ3:BJ27),"")</f>
        <v/>
      </c>
      <c r="BK29" s="139" t="str">
        <f aca="false">IFERROR(STDEV(BK3:BK27),"")</f>
        <v/>
      </c>
      <c r="BL29" s="139" t="str">
        <f aca="false">IFERROR(STDEV(BL3:BL27),"")</f>
        <v/>
      </c>
      <c r="BM29" s="139" t="str">
        <f aca="false">IFERROR(STDEV(BM3:BM27),"")</f>
        <v/>
      </c>
      <c r="BN29" s="139" t="str">
        <f aca="false">IFERROR(STDEV(BN3:BN27),"")</f>
        <v/>
      </c>
      <c r="BO29" s="139" t="str">
        <f aca="false">IFERROR(STDEV(BO3:BO27),"")</f>
        <v/>
      </c>
      <c r="BP29" s="139" t="str">
        <f aca="false">IFERROR(STDEV(BP3:BP27),"")</f>
        <v/>
      </c>
      <c r="BQ29" s="140" t="str">
        <f aca="false">IFERROR(STDEV(BQ3:BQ27),"")</f>
        <v/>
      </c>
      <c r="BR29" s="144"/>
      <c r="BS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O29" s="145"/>
      <c r="IP29" s="145"/>
      <c r="IQ29" s="145"/>
      <c r="IR29" s="145"/>
      <c r="IS29" s="145"/>
      <c r="IT29" s="145"/>
      <c r="IU29" s="146"/>
      <c r="IV29" s="146"/>
      <c r="IW29" s="146"/>
      <c r="IX29" s="146"/>
      <c r="IY29" s="146"/>
      <c r="IZ29" s="146"/>
      <c r="JA29" s="146"/>
      <c r="JB29" s="146"/>
      <c r="JC29" s="146"/>
    </row>
    <row r="30" customFormat="false" ht="18" hidden="false" customHeight="false" outlineLevel="0" collapsed="false">
      <c r="A30" s="147"/>
      <c r="B30" s="2"/>
      <c r="C30" s="2"/>
      <c r="D30" s="2"/>
      <c r="E30" s="2"/>
      <c r="F30" s="2"/>
      <c r="G30" s="148"/>
      <c r="I30" s="209"/>
      <c r="J30" s="210"/>
      <c r="K30" s="209"/>
      <c r="L30" s="209"/>
      <c r="N30" s="45"/>
      <c r="O30" s="149" t="s">
        <v>60</v>
      </c>
      <c r="P30" s="149"/>
      <c r="Q30" s="149"/>
      <c r="R30" s="149"/>
      <c r="S30" s="45"/>
      <c r="T30" s="100"/>
      <c r="V30" s="137" t="s">
        <v>61</v>
      </c>
      <c r="W30" s="137" t="str">
        <f aca="false">IFERROR(QUARTILE(W3:W27,1),"")</f>
        <v/>
      </c>
      <c r="X30" s="137" t="str">
        <f aca="false">IFERROR(QUARTILE(X3:X27,1),"")</f>
        <v/>
      </c>
      <c r="Y30" s="137" t="str">
        <f aca="false">IFERROR(QUARTILE(Y3:Y27,1),"")</f>
        <v/>
      </c>
      <c r="Z30" s="137" t="str">
        <f aca="false">IFERROR(QUARTILE(Z3:Z27,1),"")</f>
        <v/>
      </c>
      <c r="AA30" s="137" t="str">
        <f aca="false">IFERROR(QUARTILE(AA3:AA27,1),"")</f>
        <v/>
      </c>
      <c r="AB30" s="137" t="str">
        <f aca="false">IFERROR(QUARTILE(AB3:AB27,1),"")</f>
        <v/>
      </c>
      <c r="AC30" s="137" t="str">
        <f aca="false">IFERROR(QUARTILE(AC3:AC27,1),"")</f>
        <v/>
      </c>
      <c r="AD30" s="137" t="str">
        <f aca="false">IFERROR(QUARTILE(AD3:AD27,1),"")</f>
        <v/>
      </c>
      <c r="AE30" s="137" t="str">
        <f aca="false">IFERROR(QUARTILE(AE3:AE27,1),"")</f>
        <v/>
      </c>
      <c r="AF30" s="137" t="str">
        <f aca="false">IFERROR(QUARTILE(AF3:AF27,1),"")</f>
        <v/>
      </c>
      <c r="AG30" s="137" t="str">
        <f aca="false">IFERROR(QUARTILE(AG3:AG27,1),"")</f>
        <v/>
      </c>
      <c r="AH30" s="137" t="str">
        <f aca="false">IFERROR(QUARTILE(AH3:AH27,1),"")</f>
        <v/>
      </c>
      <c r="AI30" s="137" t="str">
        <f aca="false">IFERROR(QUARTILE(AI3:AI27,1),"")</f>
        <v/>
      </c>
      <c r="AJ30" s="137" t="str">
        <f aca="false">IFERROR(QUARTILE(AJ3:AJ27,1),"")</f>
        <v/>
      </c>
      <c r="AK30" s="137" t="str">
        <f aca="false">IFERROR(QUARTILE(AK3:AK27,1),"")</f>
        <v/>
      </c>
      <c r="AL30" s="45"/>
      <c r="AM30" s="137" t="str">
        <f aca="false">IFERROR(QUARTILE(AM3:AM27,1),"")</f>
        <v/>
      </c>
      <c r="AN30" s="150" t="str">
        <f aca="false">IFERROR(QUARTILE(AN3:AN27,1),"")</f>
        <v/>
      </c>
      <c r="AO30" s="150" t="str">
        <f aca="false">IFERROR(QUARTILE(AO3:AO27,1),"")</f>
        <v/>
      </c>
      <c r="AP30" s="150" t="str">
        <f aca="false">IFERROR(QUARTILE(AP3:AP27,1),"")</f>
        <v/>
      </c>
      <c r="AQ30" s="150" t="str">
        <f aca="false">IFERROR(QUARTILE(AQ3:AQ27,1),"")</f>
        <v/>
      </c>
      <c r="AR30" s="150" t="str">
        <f aca="false">IFERROR(QUARTILE(AR3:AR27,1),"")</f>
        <v/>
      </c>
      <c r="AS30" s="150" t="str">
        <f aca="false">IFERROR(QUARTILE(AS3:AS27,1),"")</f>
        <v/>
      </c>
      <c r="AT30" s="150" t="str">
        <f aca="false">IFERROR(QUARTILE(AT3:AT27,1),"")</f>
        <v/>
      </c>
      <c r="AU30" s="150" t="str">
        <f aca="false">IFERROR(QUARTILE(AU3:AU27,1),"")</f>
        <v/>
      </c>
      <c r="AV30" s="150" t="str">
        <f aca="false">IFERROR(QUARTILE(AV3:AV27,1),"")</f>
        <v/>
      </c>
      <c r="AW30" s="150" t="str">
        <f aca="false">IFERROR(QUARTILE(AW3:AW27,1),"")</f>
        <v/>
      </c>
      <c r="AX30" s="150" t="str">
        <f aca="false">IFERROR(QUARTILE(AX3:AX27,1),"")</f>
        <v/>
      </c>
      <c r="AY30" s="150" t="str">
        <f aca="false">IFERROR(QUARTILE(AY3:AY27,1),"")</f>
        <v/>
      </c>
      <c r="AZ30" s="150" t="str">
        <f aca="false">IFERROR(QUARTILE(AZ3:AZ27,1),"")</f>
        <v/>
      </c>
      <c r="BA30" s="150" t="str">
        <f aca="false">IFERROR(QUARTILE(BA3:BA27,1),"")</f>
        <v/>
      </c>
      <c r="BB30" s="150" t="str">
        <f aca="false">IFERROR(QUARTILE(BB3:BB27,1),"")</f>
        <v/>
      </c>
      <c r="BC30" s="150" t="str">
        <f aca="false">IFERROR(QUARTILE(BC3:BC27,1),"")</f>
        <v/>
      </c>
      <c r="BD30" s="150" t="str">
        <f aca="false">IFERROR(QUARTILE(BD3:BD27,1),"")</f>
        <v/>
      </c>
      <c r="BE30" s="150" t="str">
        <f aca="false">IFERROR(QUARTILE(BE3:BE27,1),"")</f>
        <v/>
      </c>
      <c r="BF30" s="150" t="str">
        <f aca="false">IFERROR(QUARTILE(BF3:BF27,1),"")</f>
        <v/>
      </c>
      <c r="BG30" s="150" t="str">
        <f aca="false">IFERROR(QUARTILE(BG3:BG27,1),"")</f>
        <v/>
      </c>
      <c r="BH30" s="150" t="str">
        <f aca="false">IFERROR(QUARTILE(BH3:BH27,1),"")</f>
        <v/>
      </c>
      <c r="BI30" s="150" t="str">
        <f aca="false">IFERROR(QUARTILE(BI3:BI27,1),"")</f>
        <v/>
      </c>
      <c r="BJ30" s="150" t="str">
        <f aca="false">IFERROR(QUARTILE(BJ3:BJ27,1),"")</f>
        <v/>
      </c>
      <c r="BK30" s="150" t="str">
        <f aca="false">IFERROR(QUARTILE(BK3:BK27,1),"")</f>
        <v/>
      </c>
      <c r="BL30" s="150" t="str">
        <f aca="false">IFERROR(QUARTILE(BL3:BL27,1),"")</f>
        <v/>
      </c>
      <c r="BM30" s="150" t="str">
        <f aca="false">IFERROR(QUARTILE(BM3:BM27,1),"")</f>
        <v/>
      </c>
      <c r="BN30" s="150" t="str">
        <f aca="false">IFERROR(QUARTILE(BN3:BN27,1),"")</f>
        <v/>
      </c>
      <c r="BO30" s="150" t="str">
        <f aca="false">IFERROR(QUARTILE(BO3:BO27,1),"")</f>
        <v/>
      </c>
      <c r="BP30" s="150" t="str">
        <f aca="false">IFERROR(QUARTILE(BP3:BP27,1),"")</f>
        <v/>
      </c>
      <c r="BQ30" s="151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customFormat="false" ht="16.5" hidden="false" customHeight="false" outlineLevel="0" collapsed="false">
      <c r="A31" s="147"/>
      <c r="B31" s="2"/>
      <c r="C31" s="2"/>
      <c r="D31" s="2"/>
      <c r="E31" s="2"/>
      <c r="F31" s="2"/>
      <c r="G31" s="148"/>
      <c r="I31" s="5"/>
      <c r="J31" s="211"/>
      <c r="K31" s="5"/>
      <c r="L31" s="5"/>
      <c r="N31" s="45"/>
      <c r="O31" s="152" t="s">
        <v>62</v>
      </c>
      <c r="P31" s="153" t="s">
        <v>63</v>
      </c>
      <c r="Q31" s="154" t="s">
        <v>64</v>
      </c>
      <c r="R31" s="154"/>
      <c r="S31" s="45"/>
      <c r="T31" s="78"/>
      <c r="V31" s="137" t="s">
        <v>65</v>
      </c>
      <c r="W31" s="155" t="str">
        <f aca="false">IFERROR(QUARTILE(W3:W27,2),"")</f>
        <v/>
      </c>
      <c r="X31" s="156" t="str">
        <f aca="false">IFERROR(QUARTILE(X3:X27,2),"")</f>
        <v/>
      </c>
      <c r="Y31" s="156" t="str">
        <f aca="false">IFERROR(QUARTILE(Y3:Y27,2),"")</f>
        <v/>
      </c>
      <c r="Z31" s="156" t="str">
        <f aca="false">IFERROR(QUARTILE(Z3:Z27,2),"")</f>
        <v/>
      </c>
      <c r="AA31" s="156" t="str">
        <f aca="false">IFERROR(QUARTILE(AA3:AA27,2),"")</f>
        <v/>
      </c>
      <c r="AB31" s="156" t="str">
        <f aca="false">IFERROR(QUARTILE(AB3:AB27,2),"")</f>
        <v/>
      </c>
      <c r="AC31" s="156" t="str">
        <f aca="false">IFERROR(QUARTILE(AC3:AC27,2),"")</f>
        <v/>
      </c>
      <c r="AD31" s="156" t="str">
        <f aca="false">IFERROR(QUARTILE(AD3:AD27,2),"")</f>
        <v/>
      </c>
      <c r="AE31" s="156" t="str">
        <f aca="false">IFERROR(QUARTILE(AE3:AE27,2),"")</f>
        <v/>
      </c>
      <c r="AF31" s="156" t="str">
        <f aca="false">IFERROR(QUARTILE(AF3:AF27,2),"")</f>
        <v/>
      </c>
      <c r="AG31" s="156" t="str">
        <f aca="false">IFERROR(QUARTILE(AG3:AG27,2),"")</f>
        <v/>
      </c>
      <c r="AH31" s="156" t="str">
        <f aca="false">IFERROR(QUARTILE(AH3:AH27,2),"")</f>
        <v/>
      </c>
      <c r="AI31" s="156" t="str">
        <f aca="false">IFERROR(QUARTILE(AI3:AI27,2),"")</f>
        <v/>
      </c>
      <c r="AJ31" s="156" t="str">
        <f aca="false">IFERROR(QUARTILE(AJ3:AJ27,2),"")</f>
        <v/>
      </c>
      <c r="AK31" s="156" t="str">
        <f aca="false">IFERROR(QUARTILE(AK3:AK27,2),"")</f>
        <v/>
      </c>
      <c r="AL31" s="144"/>
      <c r="AM31" s="156" t="str">
        <f aca="false">IFERROR(QUARTILE(AM3:AM27,2),"")</f>
        <v/>
      </c>
      <c r="AN31" s="44" t="str">
        <f aca="false">IFERROR(QUARTILE(AN3:AN27,2),"")</f>
        <v/>
      </c>
      <c r="AO31" s="44" t="str">
        <f aca="false">IFERROR(QUARTILE(AO3:AO27,2),"")</f>
        <v/>
      </c>
      <c r="AP31" s="44" t="str">
        <f aca="false">IFERROR(QUARTILE(AP3:AP27,2),"")</f>
        <v/>
      </c>
      <c r="AQ31" s="44" t="str">
        <f aca="false">IFERROR(QUARTILE(AQ3:AQ27,2),"")</f>
        <v/>
      </c>
      <c r="AR31" s="44" t="str">
        <f aca="false">IFERROR(QUARTILE(AR3:AR27,2),"")</f>
        <v/>
      </c>
      <c r="AS31" s="44" t="str">
        <f aca="false">IFERROR(QUARTILE(AS3:AS27,2),"")</f>
        <v/>
      </c>
      <c r="AT31" s="44" t="str">
        <f aca="false">IFERROR(QUARTILE(AT3:AT27,2),"")</f>
        <v/>
      </c>
      <c r="AU31" s="44" t="str">
        <f aca="false">IFERROR(QUARTILE(AU3:AU27,2),"")</f>
        <v/>
      </c>
      <c r="AV31" s="44" t="str">
        <f aca="false">IFERROR(QUARTILE(AV3:AV27,2),"")</f>
        <v/>
      </c>
      <c r="AW31" s="44" t="str">
        <f aca="false">IFERROR(QUARTILE(AW3:AW27,2),"")</f>
        <v/>
      </c>
      <c r="AX31" s="44" t="str">
        <f aca="false">IFERROR(QUARTILE(AX3:AX27,2),"")</f>
        <v/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3" t="str">
        <f aca="false">IFERROR(QUARTILE(BQ3:BQ27,2),"")</f>
        <v/>
      </c>
      <c r="BR31" s="144"/>
      <c r="BS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O31" s="145"/>
      <c r="IP31" s="145"/>
      <c r="IQ31" s="145"/>
      <c r="IR31" s="145"/>
      <c r="IS31" s="145"/>
      <c r="IT31" s="145"/>
      <c r="IU31" s="146"/>
      <c r="IV31" s="146"/>
      <c r="IW31" s="146"/>
      <c r="IX31" s="146"/>
      <c r="IY31" s="146"/>
      <c r="IZ31" s="146"/>
      <c r="JA31" s="146"/>
      <c r="JB31" s="146"/>
      <c r="JC31" s="146"/>
    </row>
    <row r="32" customFormat="false" ht="16.5" hidden="false" customHeight="false" outlineLevel="0" collapsed="false">
      <c r="A32" s="147"/>
      <c r="B32" s="2"/>
      <c r="C32" s="2"/>
      <c r="D32" s="2"/>
      <c r="E32" s="2"/>
      <c r="F32" s="2"/>
      <c r="G32" s="148"/>
      <c r="I32" s="209"/>
      <c r="J32" s="210"/>
      <c r="K32" s="209"/>
      <c r="L32" s="209"/>
      <c r="N32" s="45"/>
      <c r="O32" s="157"/>
      <c r="P32" s="158"/>
      <c r="Q32" s="159" t="str">
        <f aca="false">IFERROR(O32/P32*3.6,"")</f>
        <v/>
      </c>
      <c r="R32" s="159"/>
      <c r="S32" s="45"/>
      <c r="T32" s="39"/>
      <c r="V32" s="137" t="s">
        <v>66</v>
      </c>
      <c r="W32" s="160" t="str">
        <f aca="false">IFERROR(QUARTILE(W3:W27,3),"")</f>
        <v/>
      </c>
      <c r="X32" s="137" t="str">
        <f aca="false">IFERROR(QUARTILE(X3:X27,3),"")</f>
        <v/>
      </c>
      <c r="Y32" s="137" t="str">
        <f aca="false">IFERROR(QUARTILE(Y3:Y27,3),"")</f>
        <v/>
      </c>
      <c r="Z32" s="137" t="str">
        <f aca="false">IFERROR(QUARTILE(Z3:Z27,3),"")</f>
        <v/>
      </c>
      <c r="AA32" s="137" t="str">
        <f aca="false">IFERROR(QUARTILE(AA3:AA27,3),"")</f>
        <v/>
      </c>
      <c r="AB32" s="137" t="str">
        <f aca="false">IFERROR(QUARTILE(AB3:AB27,3),"")</f>
        <v/>
      </c>
      <c r="AC32" s="137" t="str">
        <f aca="false">IFERROR(QUARTILE(AC3:AC27,3),"")</f>
        <v/>
      </c>
      <c r="AD32" s="137" t="str">
        <f aca="false">IFERROR(QUARTILE(AD3:AD27,3),"")</f>
        <v/>
      </c>
      <c r="AE32" s="137" t="str">
        <f aca="false">IFERROR(QUARTILE(AE3:AE27,3),"")</f>
        <v/>
      </c>
      <c r="AF32" s="137" t="str">
        <f aca="false">IFERROR(QUARTILE(AF3:AF27,3),"")</f>
        <v/>
      </c>
      <c r="AG32" s="137" t="str">
        <f aca="false">IFERROR(QUARTILE(AG3:AG27,3),"")</f>
        <v/>
      </c>
      <c r="AH32" s="137" t="str">
        <f aca="false">IFERROR(QUARTILE(AH3:AH27,3),"")</f>
        <v/>
      </c>
      <c r="AI32" s="137" t="str">
        <f aca="false">IFERROR(QUARTILE(AI3:AI27,3),"")</f>
        <v/>
      </c>
      <c r="AJ32" s="137" t="str">
        <f aca="false">IFERROR(QUARTILE(AJ3:AJ27,3),"")</f>
        <v/>
      </c>
      <c r="AK32" s="137" t="str">
        <f aca="false">IFERROR(QUARTILE(AK3:AK27,3),"")</f>
        <v/>
      </c>
      <c r="AL32" s="144"/>
      <c r="AM32" s="137" t="str">
        <f aca="false">IFERROR(QUARTILE(AM3:AM27,3),"")</f>
        <v/>
      </c>
      <c r="AN32" s="150" t="str">
        <f aca="false">IFERROR(QUARTILE(AN3:AN27,3),"")</f>
        <v/>
      </c>
      <c r="AO32" s="150" t="str">
        <f aca="false">IFERROR(QUARTILE(AO3:AO27,3),"")</f>
        <v/>
      </c>
      <c r="AP32" s="150" t="str">
        <f aca="false">IFERROR(QUARTILE(AP3:AP27,3),"")</f>
        <v/>
      </c>
      <c r="AQ32" s="150" t="str">
        <f aca="false">IFERROR(QUARTILE(AQ3:AQ27,3),"")</f>
        <v/>
      </c>
      <c r="AR32" s="150" t="str">
        <f aca="false">IFERROR(QUARTILE(AR3:AR27,3),"")</f>
        <v/>
      </c>
      <c r="AS32" s="150" t="str">
        <f aca="false">IFERROR(QUARTILE(AS3:AS27,3),"")</f>
        <v/>
      </c>
      <c r="AT32" s="150" t="str">
        <f aca="false">IFERROR(QUARTILE(AT3:AT27,3),"")</f>
        <v/>
      </c>
      <c r="AU32" s="150" t="str">
        <f aca="false">IFERROR(QUARTILE(AU3:AU27,3),"")</f>
        <v/>
      </c>
      <c r="AV32" s="150" t="str">
        <f aca="false">IFERROR(QUARTILE(AV3:AV27,3),"")</f>
        <v/>
      </c>
      <c r="AW32" s="150" t="str">
        <f aca="false">IFERROR(QUARTILE(AW3:AW27,3),"")</f>
        <v/>
      </c>
      <c r="AX32" s="150" t="str">
        <f aca="false">IFERROR(QUARTILE(AX3:AX27,3),"")</f>
        <v/>
      </c>
      <c r="AY32" s="150" t="str">
        <f aca="false">IFERROR(QUARTILE(AY3:AY27,3),"")</f>
        <v/>
      </c>
      <c r="AZ32" s="150" t="str">
        <f aca="false">IFERROR(QUARTILE(AZ3:AZ27,3),"")</f>
        <v/>
      </c>
      <c r="BA32" s="150" t="str">
        <f aca="false">IFERROR(QUARTILE(BA3:BA27,3),"")</f>
        <v/>
      </c>
      <c r="BB32" s="150" t="str">
        <f aca="false">IFERROR(QUARTILE(BB3:BB27,3),"")</f>
        <v/>
      </c>
      <c r="BC32" s="150" t="str">
        <f aca="false">IFERROR(QUARTILE(BC3:BC27,3),"")</f>
        <v/>
      </c>
      <c r="BD32" s="150" t="str">
        <f aca="false">IFERROR(QUARTILE(BD3:BD27,3),"")</f>
        <v/>
      </c>
      <c r="BE32" s="150" t="str">
        <f aca="false">IFERROR(QUARTILE(BE3:BE27,3),"")</f>
        <v/>
      </c>
      <c r="BF32" s="150" t="str">
        <f aca="false">IFERROR(QUARTILE(BF3:BF27,3),"")</f>
        <v/>
      </c>
      <c r="BG32" s="150" t="str">
        <f aca="false">IFERROR(QUARTILE(BG3:BG27,3),"")</f>
        <v/>
      </c>
      <c r="BH32" s="150" t="str">
        <f aca="false">IFERROR(QUARTILE(BH3:BH27,3),"")</f>
        <v/>
      </c>
      <c r="BI32" s="150" t="str">
        <f aca="false">IFERROR(QUARTILE(BI3:BI27,3),"")</f>
        <v/>
      </c>
      <c r="BJ32" s="150" t="str">
        <f aca="false">IFERROR(QUARTILE(BJ3:BJ27,3),"")</f>
        <v/>
      </c>
      <c r="BK32" s="150" t="str">
        <f aca="false">IFERROR(QUARTILE(BK3:BK27,3),"")</f>
        <v/>
      </c>
      <c r="BL32" s="150" t="str">
        <f aca="false">IFERROR(QUARTILE(BL3:BL27,3),"")</f>
        <v/>
      </c>
      <c r="BM32" s="150" t="str">
        <f aca="false">IFERROR(QUARTILE(BM3:BM27,3),"")</f>
        <v/>
      </c>
      <c r="BN32" s="150" t="str">
        <f aca="false">IFERROR(QUARTILE(BN3:BN27,3),"")</f>
        <v/>
      </c>
      <c r="BO32" s="150" t="str">
        <f aca="false">IFERROR(QUARTILE(BO3:BO27,3),"")</f>
        <v/>
      </c>
      <c r="BP32" s="150" t="str">
        <f aca="false">IFERROR(QUARTILE(BP3:BP27,3),"")</f>
        <v/>
      </c>
      <c r="BQ32" s="151" t="str">
        <f aca="false">IFERROR(QUARTILE(BQ3:BQ27,3),"")</f>
        <v/>
      </c>
      <c r="BR32" s="144"/>
      <c r="BS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O32" s="145"/>
      <c r="IP32" s="145"/>
      <c r="IQ32" s="145"/>
      <c r="IR32" s="145"/>
      <c r="IS32" s="145"/>
      <c r="IT32" s="145"/>
      <c r="IU32" s="146"/>
      <c r="IV32" s="146"/>
      <c r="IW32" s="146"/>
      <c r="IX32" s="146"/>
      <c r="IY32" s="146"/>
      <c r="IZ32" s="146"/>
      <c r="JA32" s="146"/>
      <c r="JB32" s="146"/>
      <c r="JC32" s="146"/>
    </row>
    <row r="33" customFormat="false" ht="18" hidden="false" customHeight="false" outlineLevel="0" collapsed="false">
      <c r="A33" s="147"/>
      <c r="B33" s="2"/>
      <c r="C33" s="2"/>
      <c r="D33" s="2"/>
      <c r="E33" s="2"/>
      <c r="F33" s="2"/>
      <c r="G33" s="148"/>
      <c r="I33" s="5"/>
      <c r="J33" s="211"/>
      <c r="K33" s="5"/>
      <c r="L33" s="5"/>
      <c r="N33" s="45"/>
      <c r="O33" s="45"/>
      <c r="P33" s="45"/>
      <c r="Q33" s="45"/>
      <c r="R33" s="45"/>
      <c r="S33" s="45"/>
      <c r="T33" s="108"/>
      <c r="V33" s="161" t="s">
        <v>67</v>
      </c>
      <c r="W33" s="162" t="str">
        <f aca="false">IFERROR(QUARTILE(W3:W27,4),"")</f>
        <v/>
      </c>
      <c r="X33" s="161" t="str">
        <f aca="false">IFERROR(QUARTILE(X3:X27,4),"")</f>
        <v/>
      </c>
      <c r="Y33" s="161" t="str">
        <f aca="false">IFERROR(QUARTILE(Y3:Y27,4),"")</f>
        <v/>
      </c>
      <c r="Z33" s="161" t="str">
        <f aca="false">IFERROR(QUARTILE(Z3:Z27,4),"")</f>
        <v/>
      </c>
      <c r="AA33" s="161" t="str">
        <f aca="false">IFERROR(QUARTILE(AA3:AA27,4),"")</f>
        <v/>
      </c>
      <c r="AB33" s="161" t="str">
        <f aca="false">IFERROR(QUARTILE(AB3:AB27,4),"")</f>
        <v/>
      </c>
      <c r="AC33" s="161" t="str">
        <f aca="false">IFERROR(QUARTILE(AC3:AC27,4),"")</f>
        <v/>
      </c>
      <c r="AD33" s="161" t="str">
        <f aca="false">IFERROR(QUARTILE(AD3:AD27,4),"")</f>
        <v/>
      </c>
      <c r="AE33" s="161" t="str">
        <f aca="false">IFERROR(QUARTILE(AE3:AE27,4),"")</f>
        <v/>
      </c>
      <c r="AF33" s="161" t="str">
        <f aca="false">IFERROR(QUARTILE(AF3:AF27,4),"")</f>
        <v/>
      </c>
      <c r="AG33" s="161" t="str">
        <f aca="false">IFERROR(QUARTILE(AG3:AG27,4),"")</f>
        <v/>
      </c>
      <c r="AH33" s="161" t="str">
        <f aca="false">IFERROR(QUARTILE(AH3:AH27,4),"")</f>
        <v/>
      </c>
      <c r="AI33" s="161" t="str">
        <f aca="false">IFERROR(QUARTILE(AI3:AI27,4),"")</f>
        <v/>
      </c>
      <c r="AJ33" s="161" t="str">
        <f aca="false">IFERROR(QUARTILE(AJ3:AJ27,4),"")</f>
        <v/>
      </c>
      <c r="AK33" s="161" t="str">
        <f aca="false">IFERROR(QUARTILE(AK3:AK27,4),"")</f>
        <v/>
      </c>
      <c r="AL33" s="144"/>
      <c r="AM33" s="161" t="str">
        <f aca="false">IFERROR(QUARTILE(AM3:AM27,4),"")</f>
        <v/>
      </c>
      <c r="AN33" s="163" t="str">
        <f aca="false">IFERROR(QUARTILE(AN3:AN27,4),"")</f>
        <v/>
      </c>
      <c r="AO33" s="163" t="str">
        <f aca="false">IFERROR(QUARTILE(AO3:AO27,4),"")</f>
        <v/>
      </c>
      <c r="AP33" s="163" t="str">
        <f aca="false">IFERROR(QUARTILE(AP3:AP27,4),"")</f>
        <v/>
      </c>
      <c r="AQ33" s="163" t="str">
        <f aca="false">IFERROR(QUARTILE(AQ3:AQ27,4),"")</f>
        <v/>
      </c>
      <c r="AR33" s="163" t="str">
        <f aca="false">IFERROR(QUARTILE(AR3:AR27,4),"")</f>
        <v/>
      </c>
      <c r="AS33" s="163" t="str">
        <f aca="false">IFERROR(QUARTILE(AS3:AS27,4),"")</f>
        <v/>
      </c>
      <c r="AT33" s="163" t="str">
        <f aca="false">IFERROR(QUARTILE(AT3:AT27,4),"")</f>
        <v/>
      </c>
      <c r="AU33" s="163" t="str">
        <f aca="false">IFERROR(QUARTILE(AU3:AU27,4),"")</f>
        <v/>
      </c>
      <c r="AV33" s="163" t="str">
        <f aca="false">IFERROR(QUARTILE(AV3:AV27,4),"")</f>
        <v/>
      </c>
      <c r="AW33" s="163" t="str">
        <f aca="false">IFERROR(QUARTILE(AW3:AW27,4),"")</f>
        <v/>
      </c>
      <c r="AX33" s="163" t="str">
        <f aca="false">IFERROR(QUARTILE(AX3:AX27,4),"")</f>
        <v/>
      </c>
      <c r="AY33" s="163" t="str">
        <f aca="false">IFERROR(QUARTILE(AY3:AY27,4),"")</f>
        <v/>
      </c>
      <c r="AZ33" s="163" t="str">
        <f aca="false">IFERROR(QUARTILE(AZ3:AZ27,4),"")</f>
        <v/>
      </c>
      <c r="BA33" s="163" t="str">
        <f aca="false">IFERROR(QUARTILE(BA3:BA27,4),"")</f>
        <v/>
      </c>
      <c r="BB33" s="163" t="str">
        <f aca="false">IFERROR(QUARTILE(BB3:BB27,4),"")</f>
        <v/>
      </c>
      <c r="BC33" s="163" t="str">
        <f aca="false">IFERROR(QUARTILE(BC3:BC27,4),"")</f>
        <v/>
      </c>
      <c r="BD33" s="163" t="str">
        <f aca="false">IFERROR(QUARTILE(BD3:BD27,4),"")</f>
        <v/>
      </c>
      <c r="BE33" s="163" t="str">
        <f aca="false">IFERROR(QUARTILE(BE3:BE27,4),"")</f>
        <v/>
      </c>
      <c r="BF33" s="163" t="str">
        <f aca="false">IFERROR(QUARTILE(BF3:BF27,4),"")</f>
        <v/>
      </c>
      <c r="BG33" s="163" t="str">
        <f aca="false">IFERROR(QUARTILE(BG3:BG27,4),"")</f>
        <v/>
      </c>
      <c r="BH33" s="163" t="str">
        <f aca="false">IFERROR(QUARTILE(BH3:BH27,4),"")</f>
        <v/>
      </c>
      <c r="BI33" s="163" t="str">
        <f aca="false">IFERROR(QUARTILE(BI3:BI27,4),"")</f>
        <v/>
      </c>
      <c r="BJ33" s="163" t="str">
        <f aca="false">IFERROR(QUARTILE(BJ3:BJ27,4),"")</f>
        <v/>
      </c>
      <c r="BK33" s="163" t="str">
        <f aca="false">IFERROR(QUARTILE(BK3:BK27,4),"")</f>
        <v/>
      </c>
      <c r="BL33" s="163" t="str">
        <f aca="false">IFERROR(QUARTILE(BL3:BL27,4),"")</f>
        <v/>
      </c>
      <c r="BM33" s="163" t="str">
        <f aca="false">IFERROR(QUARTILE(BM3:BM27,4),"")</f>
        <v/>
      </c>
      <c r="BN33" s="163" t="str">
        <f aca="false">IFERROR(QUARTILE(BN3:BN27,4),"")</f>
        <v/>
      </c>
      <c r="BO33" s="163" t="str">
        <f aca="false">IFERROR(QUARTILE(BO3:BO27,4),"")</f>
        <v/>
      </c>
      <c r="BP33" s="163" t="str">
        <f aca="false">IFERROR(QUARTILE(BP3:BP27,4),"")</f>
        <v/>
      </c>
      <c r="BQ33" s="151" t="str">
        <f aca="false">IFERROR(QUARTILE(BQ3:BQ27,4),"")</f>
        <v/>
      </c>
    </row>
    <row r="34" customFormat="false" ht="16.5" hidden="false" customHeight="false" outlineLevel="0" collapsed="false">
      <c r="A34" s="147"/>
      <c r="B34" s="2"/>
      <c r="C34" s="2"/>
      <c r="D34" s="2"/>
      <c r="E34" s="2"/>
      <c r="F34" s="2"/>
      <c r="G34" s="148"/>
      <c r="I34" s="209"/>
      <c r="J34" s="210"/>
      <c r="K34" s="209"/>
      <c r="L34" s="209"/>
      <c r="N34" s="45"/>
      <c r="O34" s="45"/>
      <c r="P34" s="45"/>
      <c r="Q34" s="45"/>
      <c r="R34" s="45"/>
      <c r="S34" s="45"/>
      <c r="T34" s="109"/>
      <c r="V34" s="144"/>
      <c r="W34" s="144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Format="false" ht="15.75" hidden="false" customHeight="false" outlineLevel="0" collapsed="false">
      <c r="A35" s="147"/>
      <c r="B35" s="2"/>
      <c r="C35" s="2"/>
      <c r="D35" s="2"/>
      <c r="E35" s="2"/>
      <c r="F35" s="2"/>
      <c r="G35" s="148"/>
      <c r="I35" s="5"/>
      <c r="J35" s="211"/>
      <c r="K35" s="5"/>
      <c r="L35" s="5"/>
      <c r="N35" s="45"/>
      <c r="O35" s="45"/>
      <c r="Q35" s="45"/>
      <c r="R35" s="45"/>
      <c r="S35" s="45"/>
      <c r="T35" s="108"/>
      <c r="V35" s="144"/>
      <c r="W35" s="144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5.75" hidden="false" customHeight="false" outlineLevel="0" collapsed="false">
      <c r="A36" s="147"/>
      <c r="B36" s="2"/>
      <c r="C36" s="2"/>
      <c r="D36" s="2"/>
      <c r="E36" s="2"/>
      <c r="F36" s="2"/>
      <c r="G36" s="148"/>
      <c r="I36" s="209"/>
      <c r="J36" s="210"/>
      <c r="K36" s="209"/>
      <c r="L36" s="209"/>
      <c r="N36" s="45"/>
      <c r="O36" s="45"/>
      <c r="P36" s="45"/>
      <c r="Q36" s="45"/>
      <c r="R36" s="45"/>
      <c r="S36" s="45"/>
      <c r="T36" s="109"/>
      <c r="V36" s="144"/>
      <c r="W36" s="144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Format="false" ht="15.75" hidden="false" customHeight="false" outlineLevel="0" collapsed="false">
      <c r="A37" s="147"/>
      <c r="B37" s="2"/>
      <c r="C37" s="2"/>
      <c r="D37" s="2"/>
      <c r="E37" s="2"/>
      <c r="F37" s="2"/>
      <c r="G37" s="148"/>
      <c r="I37" s="5"/>
      <c r="J37" s="211"/>
      <c r="K37" s="5"/>
      <c r="L37" s="5"/>
      <c r="N37" s="45"/>
      <c r="O37" s="45"/>
      <c r="P37" s="45"/>
      <c r="Q37" s="45"/>
      <c r="R37" s="45"/>
      <c r="S37" s="45"/>
      <c r="T37" s="78"/>
      <c r="V37" s="144"/>
      <c r="W37" s="144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Format="false" ht="15.75" hidden="false" customHeight="false" outlineLevel="0" collapsed="false">
      <c r="A38" s="147"/>
      <c r="B38" s="2"/>
      <c r="C38" s="2"/>
      <c r="D38" s="2"/>
      <c r="E38" s="2"/>
      <c r="F38" s="2"/>
      <c r="G38" s="148"/>
      <c r="I38" s="209"/>
      <c r="J38" s="210"/>
      <c r="K38" s="209"/>
      <c r="L38" s="209"/>
      <c r="N38" s="45"/>
      <c r="O38" s="45"/>
      <c r="P38" s="45"/>
      <c r="Q38" s="45"/>
      <c r="R38" s="45"/>
      <c r="S38" s="45"/>
      <c r="T38" s="100"/>
      <c r="V38" s="144"/>
      <c r="W38" s="144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Format="false" ht="15.75" hidden="false" customHeight="false" outlineLevel="0" collapsed="false">
      <c r="A39" s="147"/>
      <c r="B39" s="2"/>
      <c r="C39" s="2"/>
      <c r="D39" s="2"/>
      <c r="E39" s="2"/>
      <c r="F39" s="2"/>
      <c r="G39" s="148"/>
      <c r="I39" s="5"/>
      <c r="J39" s="211"/>
      <c r="K39" s="5"/>
      <c r="L39" s="5"/>
      <c r="N39" s="45"/>
      <c r="O39" s="45"/>
      <c r="P39" s="45"/>
      <c r="Q39" s="45"/>
      <c r="R39" s="45"/>
      <c r="S39" s="45"/>
      <c r="T39" s="78"/>
      <c r="V39" s="144"/>
      <c r="W39" s="144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Format="false" ht="15.75" hidden="false" customHeight="false" outlineLevel="0" collapsed="false">
      <c r="A40" s="147"/>
      <c r="B40" s="2"/>
      <c r="C40" s="2"/>
      <c r="D40" s="2"/>
      <c r="E40" s="2"/>
      <c r="F40" s="2"/>
      <c r="G40" s="148"/>
      <c r="I40" s="209"/>
      <c r="J40" s="210"/>
      <c r="K40" s="209"/>
      <c r="L40" s="209"/>
      <c r="N40" s="45"/>
      <c r="O40" s="45"/>
      <c r="P40" s="45"/>
      <c r="Q40" s="45"/>
      <c r="R40" s="45"/>
      <c r="S40" s="45"/>
      <c r="T40" s="100"/>
      <c r="V40" s="144"/>
      <c r="W40" s="144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Format="false" ht="15.75" hidden="false" customHeight="false" outlineLevel="0" collapsed="false">
      <c r="A41" s="147"/>
      <c r="B41" s="2"/>
      <c r="C41" s="2"/>
      <c r="D41" s="2"/>
      <c r="E41" s="2"/>
      <c r="F41" s="2"/>
      <c r="G41" s="148"/>
      <c r="I41" s="5"/>
      <c r="J41" s="211"/>
      <c r="K41" s="5"/>
      <c r="L41" s="5"/>
      <c r="N41" s="45"/>
      <c r="O41" s="45"/>
      <c r="P41" s="45"/>
      <c r="Q41" s="45"/>
      <c r="R41" s="45"/>
      <c r="S41" s="45"/>
      <c r="T41" s="78"/>
      <c r="V41" s="144"/>
      <c r="W41" s="144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Format="false" ht="15.75" hidden="false" customHeight="false" outlineLevel="0" collapsed="false">
      <c r="A42" s="147"/>
      <c r="B42" s="2"/>
      <c r="C42" s="2"/>
      <c r="D42" s="2"/>
      <c r="E42" s="2"/>
      <c r="F42" s="2"/>
      <c r="G42" s="148"/>
      <c r="I42" s="209"/>
      <c r="J42" s="210"/>
      <c r="K42" s="209"/>
      <c r="L42" s="209"/>
      <c r="N42" s="45"/>
      <c r="O42" s="45"/>
      <c r="P42" s="45"/>
      <c r="Q42" s="45"/>
      <c r="R42" s="45"/>
      <c r="S42" s="45"/>
      <c r="T42" s="100"/>
      <c r="V42" s="144"/>
      <c r="W42" s="144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5.75" hidden="false" customHeight="false" outlineLevel="0" collapsed="false">
      <c r="A43" s="147"/>
      <c r="B43" s="2"/>
      <c r="C43" s="2"/>
      <c r="D43" s="2"/>
      <c r="E43" s="2"/>
      <c r="F43" s="2"/>
      <c r="G43" s="148"/>
      <c r="I43" s="4"/>
      <c r="J43" s="211"/>
      <c r="K43" s="5"/>
      <c r="L43" s="5"/>
      <c r="N43" s="45"/>
      <c r="O43" s="45"/>
      <c r="P43" s="45"/>
      <c r="Q43" s="45"/>
      <c r="R43" s="45"/>
      <c r="S43" s="45"/>
      <c r="T43" s="78"/>
      <c r="V43" s="144"/>
      <c r="W43" s="144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5.75" hidden="false" customHeight="false" outlineLevel="0" collapsed="false">
      <c r="A44" s="147"/>
      <c r="B44" s="2"/>
      <c r="C44" s="2"/>
      <c r="D44" s="2"/>
      <c r="E44" s="2"/>
      <c r="F44" s="2"/>
      <c r="G44" s="148"/>
      <c r="I44" s="209"/>
      <c r="J44" s="210"/>
      <c r="K44" s="209"/>
      <c r="L44" s="209"/>
      <c r="N44" s="2"/>
      <c r="O44" s="2"/>
      <c r="P44" s="2"/>
      <c r="Q44" s="2"/>
      <c r="R44" s="2"/>
      <c r="S44" s="2"/>
      <c r="T44" s="100"/>
      <c r="V44" s="144"/>
      <c r="W44" s="144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Format="false" ht="15.75" hidden="false" customHeight="false" outlineLevel="0" collapsed="false">
      <c r="A45" s="147"/>
      <c r="B45" s="2"/>
      <c r="C45" s="2"/>
      <c r="D45" s="2"/>
      <c r="E45" s="2"/>
      <c r="F45" s="2"/>
      <c r="G45" s="148"/>
      <c r="I45" s="4"/>
      <c r="J45" s="211"/>
      <c r="K45" s="5"/>
      <c r="L45" s="5"/>
      <c r="N45" s="2"/>
      <c r="O45" s="2"/>
      <c r="P45" s="2"/>
      <c r="Q45" s="2"/>
      <c r="R45" s="2"/>
      <c r="S45" s="2"/>
      <c r="T45" s="78"/>
      <c r="V45" s="144"/>
      <c r="W45" s="144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Format="false" ht="16.5" hidden="false" customHeight="false" outlineLevel="0" collapsed="false">
      <c r="A46" s="167"/>
      <c r="B46" s="168"/>
      <c r="C46" s="168"/>
      <c r="D46" s="168"/>
      <c r="E46" s="168"/>
      <c r="F46" s="168"/>
      <c r="G46" s="169"/>
      <c r="I46" s="209"/>
      <c r="J46" s="210"/>
      <c r="K46" s="209"/>
      <c r="L46" s="209"/>
      <c r="N46" s="2"/>
      <c r="O46" s="2"/>
      <c r="P46" s="2"/>
      <c r="Q46" s="2"/>
      <c r="R46" s="2"/>
      <c r="S46" s="2"/>
      <c r="T46" s="100"/>
      <c r="V46" s="144"/>
      <c r="W46" s="144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Format="false" ht="21" hidden="false" customHeight="false" outlineLevel="0" collapsed="false">
      <c r="A47" s="170" t="str">
        <f aca="false">A1</f>
        <v>Rapport n°1</v>
      </c>
      <c r="B47" s="170"/>
      <c r="C47" s="170"/>
      <c r="D47" s="2"/>
      <c r="E47" s="171" t="str">
        <f aca="false">E1</f>
        <v>XX-XX-202X</v>
      </c>
      <c r="F47" s="171"/>
      <c r="G47" s="171"/>
      <c r="I47" s="4"/>
      <c r="J47" s="211"/>
      <c r="K47" s="5"/>
      <c r="L47" s="5"/>
      <c r="N47" s="2"/>
      <c r="O47" s="2"/>
      <c r="P47" s="2"/>
      <c r="Q47" s="2"/>
      <c r="R47" s="2"/>
      <c r="S47" s="2"/>
      <c r="T47" s="7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IU47" s="2"/>
      <c r="IV47" s="2"/>
      <c r="IW47" s="2"/>
      <c r="IX47" s="2"/>
      <c r="IY47" s="2"/>
      <c r="IZ47" s="2"/>
      <c r="JA47" s="2"/>
      <c r="JB47" s="2"/>
      <c r="JC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I48" s="209"/>
      <c r="J48" s="210"/>
      <c r="K48" s="209"/>
      <c r="L48" s="209"/>
      <c r="N48" s="2"/>
      <c r="O48" s="2"/>
      <c r="P48" s="2"/>
      <c r="Q48" s="2"/>
      <c r="R48" s="2"/>
      <c r="S48" s="2"/>
      <c r="T48" s="3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IU48" s="2"/>
      <c r="IV48" s="2"/>
      <c r="IW48" s="2"/>
      <c r="IX48" s="2"/>
      <c r="IY48" s="2"/>
      <c r="IZ48" s="2"/>
      <c r="JA48" s="2"/>
      <c r="JB48" s="2"/>
      <c r="JC48" s="2"/>
    </row>
    <row r="49" customFormat="false" ht="21" hidden="false" customHeight="false" outlineLevel="0" collapsed="false">
      <c r="A49" s="172" t="s">
        <v>14</v>
      </c>
      <c r="B49" s="172"/>
      <c r="C49" s="172"/>
      <c r="D49" s="2"/>
      <c r="E49" s="52" t="s">
        <v>15</v>
      </c>
      <c r="F49" s="53" t="s">
        <v>68</v>
      </c>
      <c r="G49" s="54" t="s">
        <v>69</v>
      </c>
      <c r="I49" s="4"/>
      <c r="J49" s="211"/>
      <c r="K49" s="5"/>
      <c r="L49" s="5"/>
      <c r="N49" s="2"/>
      <c r="O49" s="2"/>
      <c r="P49" s="2"/>
      <c r="Q49" s="2"/>
      <c r="R49" s="2"/>
      <c r="S49" s="2"/>
      <c r="T49" s="10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IU49" s="2"/>
      <c r="IV49" s="2"/>
      <c r="IW49" s="2"/>
      <c r="IX49" s="2"/>
      <c r="IY49" s="2"/>
      <c r="IZ49" s="2"/>
      <c r="JA49" s="2"/>
      <c r="JB49" s="2"/>
      <c r="JC49" s="2"/>
    </row>
    <row r="50" customFormat="false" ht="18" hidden="false" customHeight="false" outlineLevel="0" collapsed="false">
      <c r="A50" s="65"/>
      <c r="B50" s="66" t="s">
        <v>1</v>
      </c>
      <c r="C50" s="173" t="str">
        <f aca="false">IF(C4=0,"",C4)</f>
        <v/>
      </c>
      <c r="D50" s="2"/>
      <c r="E50" s="68"/>
      <c r="F50" s="174" t="str">
        <f aca="false">IFERROR(VLOOKUP(E50,$A$58:$H$72,4,FALSE())*100/VLOOKUP(E50,$A$58:$H$72,7,FALSE())/100,"")</f>
        <v/>
      </c>
      <c r="G50" s="175" t="str">
        <f aca="false">IFERROR(VLOOKUP(E50,$A$58:$H$72,5,FALSE())*100/VLOOKUP(E50,$A$58:$H$72,7,FALSE())/100,"")</f>
        <v/>
      </c>
      <c r="I50" s="209"/>
      <c r="J50" s="210"/>
      <c r="K50" s="209"/>
      <c r="L50" s="209"/>
      <c r="N50" s="2"/>
      <c r="O50" s="2"/>
      <c r="P50" s="2"/>
      <c r="Q50" s="2"/>
      <c r="R50" s="2"/>
      <c r="S50" s="2"/>
      <c r="T50" s="10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IU50" s="2"/>
      <c r="IV50" s="2"/>
      <c r="IW50" s="2"/>
      <c r="IX50" s="2"/>
      <c r="IY50" s="2"/>
      <c r="IZ50" s="2"/>
      <c r="JA50" s="2"/>
      <c r="JB50" s="2"/>
      <c r="JC50" s="2"/>
    </row>
    <row r="51" customFormat="false" ht="15.75" hidden="false" customHeight="false" outlineLevel="0" collapsed="false">
      <c r="A51" s="65"/>
      <c r="B51" s="73" t="s">
        <v>22</v>
      </c>
      <c r="C51" s="74" t="str">
        <f aca="false">IFERROR(VLOOKUP(C4,O2:S26,2,FALSE()),"")</f>
        <v/>
      </c>
      <c r="D51" s="2"/>
      <c r="E51" s="75"/>
      <c r="F51" s="176" t="str">
        <f aca="false">IFERROR(VLOOKUP(E51,$A$58:$H$72,4,FALSE())*100/VLOOKUP(E51,$A$58:$H$72,7,FALSE())/100,"")</f>
        <v/>
      </c>
      <c r="G51" s="175" t="str">
        <f aca="false">IFERROR(VLOOKUP(E51,$A$58:$H$72,5,FALSE())*100/VLOOKUP(E51,$A$58:$H$72,7,FALSE())/100,"")</f>
        <v/>
      </c>
      <c r="I51" s="4"/>
      <c r="J51" s="211"/>
      <c r="K51" s="5"/>
      <c r="L51" s="5"/>
      <c r="N51" s="2"/>
      <c r="O51" s="2"/>
      <c r="P51" s="2"/>
      <c r="Q51" s="2"/>
      <c r="R51" s="2"/>
      <c r="S51" s="2"/>
      <c r="T51" s="10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IU51" s="2"/>
      <c r="IV51" s="2"/>
      <c r="IW51" s="2"/>
      <c r="IX51" s="2"/>
      <c r="IY51" s="2"/>
      <c r="IZ51" s="2"/>
      <c r="JA51" s="2"/>
      <c r="JB51" s="2"/>
      <c r="JC51" s="2"/>
    </row>
    <row r="52" customFormat="false" ht="15.75" hidden="false" customHeight="false" outlineLevel="0" collapsed="false">
      <c r="A52" s="65"/>
      <c r="B52" s="73" t="s">
        <v>8</v>
      </c>
      <c r="C52" s="74" t="n">
        <f aca="false">IFERROR(VLOOKUP(C4,O:Q,3,FALSE()),"")</f>
        <v>0</v>
      </c>
      <c r="D52" s="2"/>
      <c r="E52" s="75"/>
      <c r="F52" s="176" t="str">
        <f aca="false">IFERROR(VLOOKUP(E52,$A$58:$H$72,4,FALSE())*100/VLOOKUP(E52,$A$58:$H$72,7,FALSE())/100,"")</f>
        <v/>
      </c>
      <c r="G52" s="175" t="str">
        <f aca="false">IFERROR(VLOOKUP(E52,$A$58:$H$72,5,FALSE())*100/VLOOKUP(E52,$A$58:$H$72,7,FALSE())/100,"")</f>
        <v/>
      </c>
      <c r="I52" s="209"/>
      <c r="J52" s="210"/>
      <c r="K52" s="209"/>
      <c r="L52" s="209"/>
      <c r="N52" s="2"/>
      <c r="O52" s="2"/>
      <c r="P52" s="2"/>
      <c r="Q52" s="2"/>
      <c r="R52" s="2"/>
      <c r="S52" s="2"/>
      <c r="T52" s="10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IU52" s="2"/>
      <c r="IV52" s="2"/>
      <c r="IW52" s="2"/>
      <c r="IX52" s="2"/>
      <c r="IY52" s="2"/>
      <c r="IZ52" s="2"/>
      <c r="JA52" s="2"/>
      <c r="JB52" s="2"/>
      <c r="JC52" s="2"/>
    </row>
    <row r="53" customFormat="false" ht="15.75" hidden="false" customHeight="false" outlineLevel="0" collapsed="false">
      <c r="A53" s="65"/>
      <c r="B53" s="73" t="s">
        <v>9</v>
      </c>
      <c r="C53" s="74" t="str">
        <f aca="false">IFERROR(VLOOKUP(C4,O:R,4,FALSE()),"")</f>
        <v/>
      </c>
      <c r="D53" s="2"/>
      <c r="E53" s="75"/>
      <c r="F53" s="176" t="str">
        <f aca="false">IFERROR(VLOOKUP(E53,$A$58:$H$72,4,FALSE())*100/VLOOKUP(E53,$A$58:$H$72,7,FALSE())/100,"")</f>
        <v/>
      </c>
      <c r="G53" s="175" t="str">
        <f aca="false">IFERROR(VLOOKUP(E53,$A$58:$H$72,5,FALSE())*100/VLOOKUP(E53,$A$58:$H$72,7,FALSE())/100,"")</f>
        <v/>
      </c>
      <c r="I53" s="5"/>
      <c r="J53" s="211"/>
      <c r="K53" s="5"/>
      <c r="L53" s="5"/>
      <c r="N53" s="2"/>
      <c r="O53" s="2"/>
      <c r="P53" s="2"/>
      <c r="Q53" s="2"/>
      <c r="R53" s="2"/>
      <c r="S53" s="2"/>
      <c r="T53" s="7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IU53" s="2"/>
      <c r="IV53" s="2"/>
      <c r="IW53" s="2"/>
      <c r="IX53" s="2"/>
      <c r="IY53" s="2"/>
      <c r="IZ53" s="2"/>
      <c r="JA53" s="2"/>
      <c r="JB53" s="2"/>
      <c r="JC53" s="2"/>
    </row>
    <row r="54" customFormat="false" ht="16.5" hidden="false" customHeight="false" outlineLevel="0" collapsed="false">
      <c r="A54" s="65"/>
      <c r="B54" s="79" t="s">
        <v>10</v>
      </c>
      <c r="C54" s="80" t="str">
        <f aca="false">IFERROR(VLOOKUP(C4,O:S,5,FALSE()),"")</f>
        <v/>
      </c>
      <c r="D54" s="2"/>
      <c r="E54" s="81"/>
      <c r="F54" s="177" t="str">
        <f aca="false">IFERROR(VLOOKUP(E54,$A$58:$H$72,4,FALSE())*100/VLOOKUP(E54,$A$58:$H$72,7,FALSE())/100,"")</f>
        <v/>
      </c>
      <c r="G54" s="178" t="str">
        <f aca="false">IFERROR(VLOOKUP(E54,$A$58:$H$72,5,FALSE())*100/VLOOKUP(E54,$A$58:$H$72,7,FALSE())/100,"")</f>
        <v/>
      </c>
      <c r="I54" s="4"/>
      <c r="J54" s="210"/>
      <c r="K54" s="209"/>
      <c r="L54" s="209"/>
      <c r="N54" s="2"/>
      <c r="O54" s="2"/>
      <c r="P54" s="2"/>
      <c r="Q54" s="2"/>
      <c r="R54" s="2"/>
      <c r="S54" s="2"/>
      <c r="T54" s="100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IU54" s="2"/>
      <c r="IV54" s="2"/>
      <c r="IW54" s="2"/>
      <c r="IX54" s="2"/>
      <c r="IY54" s="2"/>
      <c r="IZ54" s="2"/>
      <c r="JA54" s="2"/>
      <c r="JB54" s="2"/>
      <c r="JC54" s="2"/>
    </row>
    <row r="55" customFormat="false" ht="18" hidden="false" customHeight="false" outlineLevel="0" collapsed="false">
      <c r="A55" s="2"/>
      <c r="B55" s="2"/>
      <c r="C55" s="2"/>
      <c r="D55" s="2"/>
      <c r="E55" s="2"/>
      <c r="F55" s="2"/>
      <c r="G55" s="2"/>
      <c r="I55" s="4"/>
      <c r="J55" s="211"/>
      <c r="K55" s="5"/>
      <c r="L55" s="5"/>
      <c r="N55" s="2"/>
      <c r="O55" s="2"/>
      <c r="P55" s="2"/>
      <c r="Q55" s="2"/>
      <c r="R55" s="2"/>
      <c r="S55" s="2"/>
      <c r="T55" s="7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IU55" s="2"/>
      <c r="IV55" s="2"/>
      <c r="IW55" s="2"/>
      <c r="IX55" s="2"/>
      <c r="IY55" s="2"/>
      <c r="IZ55" s="2"/>
      <c r="JA55" s="2"/>
      <c r="JB55" s="2"/>
      <c r="JC55" s="2"/>
    </row>
    <row r="56" customFormat="false" ht="21" hidden="false" customHeight="false" outlineLevel="0" collapsed="false">
      <c r="A56" s="84" t="s">
        <v>31</v>
      </c>
      <c r="B56" s="84"/>
      <c r="C56" s="84"/>
      <c r="D56" s="84"/>
      <c r="E56" s="84"/>
      <c r="F56" s="84"/>
      <c r="G56" s="84"/>
      <c r="I56" s="4"/>
      <c r="J56" s="210"/>
      <c r="K56" s="209"/>
      <c r="L56" s="209"/>
      <c r="N56" s="2"/>
      <c r="O56" s="2"/>
      <c r="P56" s="2"/>
      <c r="Q56" s="2"/>
      <c r="R56" s="2"/>
      <c r="S56" s="2"/>
      <c r="T56" s="100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IU56" s="2"/>
      <c r="IV56" s="2"/>
      <c r="IW56" s="2"/>
      <c r="IX56" s="2"/>
      <c r="IY56" s="2"/>
      <c r="IZ56" s="2"/>
      <c r="JA56" s="2"/>
      <c r="JB56" s="2"/>
      <c r="JC56" s="2"/>
    </row>
    <row r="57" customFormat="false" ht="21" hidden="false" customHeight="false" outlineLevel="0" collapsed="false">
      <c r="A57" s="182"/>
      <c r="B57" s="87" t="s">
        <v>68</v>
      </c>
      <c r="C57" s="88" t="s">
        <v>69</v>
      </c>
      <c r="D57" s="88" t="s">
        <v>68</v>
      </c>
      <c r="E57" s="89" t="s">
        <v>69</v>
      </c>
      <c r="F57" s="183" t="s">
        <v>75</v>
      </c>
      <c r="G57" s="91" t="s">
        <v>37</v>
      </c>
      <c r="I57" s="4"/>
      <c r="J57" s="211"/>
      <c r="K57" s="5"/>
      <c r="L57" s="5"/>
      <c r="N57" s="2"/>
      <c r="O57" s="2"/>
      <c r="P57" s="2"/>
      <c r="Q57" s="2"/>
      <c r="R57" s="2"/>
      <c r="S57" s="2"/>
      <c r="T57" s="7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IU57" s="2"/>
      <c r="IV57" s="2"/>
      <c r="IW57" s="2"/>
      <c r="IX57" s="2"/>
      <c r="IY57" s="2"/>
      <c r="IZ57" s="2"/>
      <c r="JA57" s="2"/>
      <c r="JB57" s="2"/>
      <c r="JC57" s="2"/>
    </row>
    <row r="58" customFormat="false" ht="15.75" hidden="false" customHeight="false" outlineLevel="0" collapsed="false">
      <c r="A58" s="92"/>
      <c r="B58" s="184"/>
      <c r="C58" s="185"/>
      <c r="D58" s="186" t="str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/>
      </c>
      <c r="E58" s="187" t="str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/>
      </c>
      <c r="F58" s="188" t="str">
        <f aca="false">IFERROR(((E58-D58)/D58)*100,"")</f>
        <v/>
      </c>
      <c r="G58" s="189" t="str">
        <f aca="false">IF(IFERROR(MAX(AM33:AN33),"")=0,"",IFERROR(MAX(AM33:AN33),""))</f>
        <v/>
      </c>
      <c r="I58" s="4"/>
      <c r="J58" s="210"/>
      <c r="K58" s="209"/>
      <c r="L58" s="209"/>
      <c r="N58" s="2"/>
      <c r="O58" s="2"/>
      <c r="P58" s="2"/>
      <c r="Q58" s="2"/>
      <c r="R58" s="2"/>
      <c r="S58" s="2"/>
      <c r="T58" s="100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IU58" s="2"/>
      <c r="IV58" s="2"/>
      <c r="IW58" s="2"/>
      <c r="IX58" s="2"/>
      <c r="IY58" s="2"/>
      <c r="IZ58" s="2"/>
      <c r="JA58" s="2"/>
      <c r="JB58" s="2"/>
      <c r="JC58" s="2"/>
    </row>
    <row r="59" customFormat="false" ht="15.75" hidden="false" customHeight="false" outlineLevel="0" collapsed="false">
      <c r="A59" s="92"/>
      <c r="B59" s="184"/>
      <c r="C59" s="185"/>
      <c r="D59" s="186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7" t="str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/>
      </c>
      <c r="F59" s="188" t="str">
        <f aca="false">IFERROR(((E59-D59)/D59)*100,"")</f>
        <v/>
      </c>
      <c r="G59" s="190" t="str">
        <f aca="false">IF(IFERROR(MAX(AO33:AP33),"")=0,"",IFERROR(MAX(AO33:AP33),""))</f>
        <v/>
      </c>
      <c r="I59" s="4"/>
      <c r="J59" s="211"/>
      <c r="K59" s="5"/>
      <c r="L59" s="5"/>
      <c r="N59" s="2"/>
      <c r="O59" s="2"/>
      <c r="P59" s="2"/>
      <c r="Q59" s="2"/>
      <c r="R59" s="2"/>
      <c r="S59" s="2"/>
      <c r="T59" s="7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IU59" s="2"/>
      <c r="IV59" s="2"/>
      <c r="IW59" s="2"/>
      <c r="IX59" s="2"/>
      <c r="IY59" s="2"/>
      <c r="IZ59" s="2"/>
      <c r="JA59" s="2"/>
      <c r="JB59" s="2"/>
      <c r="JC59" s="2"/>
    </row>
    <row r="60" customFormat="false" ht="15.75" hidden="false" customHeight="false" outlineLevel="0" collapsed="false">
      <c r="A60" s="92"/>
      <c r="B60" s="184"/>
      <c r="C60" s="185"/>
      <c r="D60" s="186" t="str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/>
      </c>
      <c r="E60" s="187" t="str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/>
      </c>
      <c r="F60" s="188" t="str">
        <f aca="false">IFERROR(((E60-D60)/D60)*100,"")</f>
        <v/>
      </c>
      <c r="G60" s="190" t="str">
        <f aca="false">IF(IFERROR(MAX(AQ33:AR33),"")=0,"",IFERROR(MAX(AQ33:AR33),""))</f>
        <v/>
      </c>
      <c r="I60" s="4"/>
      <c r="J60" s="210"/>
      <c r="K60" s="209"/>
      <c r="L60" s="209"/>
      <c r="N60" s="2"/>
      <c r="O60" s="2"/>
      <c r="P60" s="2"/>
      <c r="Q60" s="2"/>
      <c r="R60" s="2"/>
      <c r="S60" s="2"/>
      <c r="T60" s="100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IU60" s="2"/>
      <c r="IV60" s="2"/>
      <c r="IW60" s="2"/>
      <c r="IX60" s="2"/>
      <c r="IY60" s="2"/>
      <c r="IZ60" s="2"/>
      <c r="JA60" s="2"/>
      <c r="JB60" s="2"/>
      <c r="JC60" s="2"/>
    </row>
    <row r="61" customFormat="false" ht="15.75" hidden="false" customHeight="false" outlineLevel="0" collapsed="false">
      <c r="A61" s="92"/>
      <c r="B61" s="184"/>
      <c r="C61" s="185"/>
      <c r="D61" s="186" t="str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87" t="str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/>
      </c>
      <c r="F61" s="188" t="str">
        <f aca="false">IFERROR(((E61-D61)/D61)*100,"")</f>
        <v/>
      </c>
      <c r="G61" s="190" t="str">
        <f aca="false">IF(IFERROR(MAX(AS33:AT33),"")=0,"",IFERROR(MAX(AS33:AT33),""))</f>
        <v/>
      </c>
      <c r="I61" s="4"/>
      <c r="J61" s="211"/>
      <c r="K61" s="5"/>
      <c r="L61" s="5"/>
      <c r="N61" s="2"/>
      <c r="O61" s="2"/>
      <c r="P61" s="2"/>
      <c r="Q61" s="2"/>
      <c r="R61" s="2"/>
      <c r="S61" s="2"/>
      <c r="T61" s="7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IU61" s="2"/>
      <c r="IV61" s="2"/>
      <c r="IW61" s="2"/>
      <c r="IX61" s="2"/>
      <c r="IY61" s="2"/>
      <c r="IZ61" s="2"/>
      <c r="JA61" s="2"/>
      <c r="JB61" s="2"/>
      <c r="JC61" s="2"/>
    </row>
    <row r="62" customFormat="false" ht="15.75" hidden="false" customHeight="false" outlineLevel="0" collapsed="false">
      <c r="A62" s="92"/>
      <c r="B62" s="184"/>
      <c r="C62" s="185"/>
      <c r="D62" s="186" t="str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/>
      </c>
      <c r="E62" s="187" t="str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/>
      </c>
      <c r="F62" s="188" t="str">
        <f aca="false">IFERROR(((E62-D62)/D62)*100,"")</f>
        <v/>
      </c>
      <c r="G62" s="190" t="str">
        <f aca="false">IF(IFERROR(MAX(AU33:AV33),"")=0,"",IFERROR(MAX(AU33:AV33),""))</f>
        <v/>
      </c>
      <c r="I62" s="4"/>
      <c r="J62" s="210"/>
      <c r="K62" s="209"/>
      <c r="L62" s="209"/>
      <c r="N62" s="2"/>
      <c r="O62" s="2"/>
      <c r="P62" s="2"/>
      <c r="Q62" s="2"/>
      <c r="R62" s="2"/>
      <c r="S62" s="2"/>
      <c r="T62" s="100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IU62" s="2"/>
      <c r="IV62" s="2"/>
      <c r="IW62" s="2"/>
      <c r="IX62" s="2"/>
      <c r="IY62" s="2"/>
      <c r="IZ62" s="2"/>
      <c r="JA62" s="2"/>
      <c r="JB62" s="2"/>
      <c r="JC62" s="2"/>
    </row>
    <row r="63" customFormat="false" ht="15.75" hidden="false" customHeight="false" outlineLevel="0" collapsed="false">
      <c r="A63" s="92"/>
      <c r="B63" s="184"/>
      <c r="C63" s="185"/>
      <c r="D63" s="186" t="str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/>
      </c>
      <c r="E63" s="187" t="str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/>
      </c>
      <c r="F63" s="188" t="str">
        <f aca="false">IFERROR(((E63-D63)/D63)*100,"")</f>
        <v/>
      </c>
      <c r="G63" s="190" t="str">
        <f aca="false">IF(IFERROR(MAX(AW33:AX33),"")=0,"",IFERROR(MAX(AW33:AX33),""))</f>
        <v/>
      </c>
      <c r="I63" s="4"/>
      <c r="J63" s="211"/>
      <c r="K63" s="5"/>
      <c r="L63" s="5"/>
      <c r="N63" s="2"/>
      <c r="O63" s="2"/>
      <c r="P63" s="2"/>
      <c r="Q63" s="2"/>
      <c r="R63" s="2"/>
      <c r="S63" s="2"/>
      <c r="T63" s="7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IU63" s="2"/>
      <c r="IV63" s="2"/>
      <c r="IW63" s="2"/>
      <c r="IX63" s="2"/>
      <c r="IY63" s="2"/>
      <c r="IZ63" s="2"/>
      <c r="JA63" s="2"/>
      <c r="JB63" s="2"/>
      <c r="JC63" s="2"/>
    </row>
    <row r="64" customFormat="false" ht="15.75" hidden="false" customHeight="false" outlineLevel="0" collapsed="false">
      <c r="A64" s="92"/>
      <c r="B64" s="184"/>
      <c r="C64" s="185"/>
      <c r="D64" s="186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7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8" t="str">
        <f aca="false">IFERROR(((E64-D64)/D64)*100,"")</f>
        <v/>
      </c>
      <c r="G64" s="190" t="str">
        <f aca="false">IF(IFERROR(MAX(AY33:AZ33),"")=0,"",IFERROR(MAX(AY33:AZ33),""))</f>
        <v/>
      </c>
      <c r="I64" s="209"/>
      <c r="J64" s="210"/>
      <c r="K64" s="209"/>
      <c r="L64" s="209"/>
      <c r="N64" s="2"/>
      <c r="O64" s="2"/>
      <c r="P64" s="2"/>
      <c r="Q64" s="2"/>
      <c r="R64" s="2"/>
      <c r="S64" s="2"/>
      <c r="T64" s="3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IU64" s="2"/>
      <c r="IV64" s="2"/>
      <c r="IW64" s="2"/>
      <c r="IX64" s="2"/>
      <c r="IY64" s="2"/>
      <c r="IZ64" s="2"/>
      <c r="JA64" s="2"/>
      <c r="JB64" s="2"/>
      <c r="JC64" s="2"/>
    </row>
    <row r="65" customFormat="false" ht="15.75" hidden="false" customHeight="false" outlineLevel="0" collapsed="false">
      <c r="A65" s="92"/>
      <c r="B65" s="184"/>
      <c r="C65" s="185"/>
      <c r="D65" s="186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7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8" t="str">
        <f aca="false">IFERROR(((E65-D65)/D65)*100,"")</f>
        <v/>
      </c>
      <c r="G65" s="190" t="str">
        <f aca="false">IF(IFERROR(MAX(BA33:BB33),"")=0,"",IFERROR(MAX(BA33:BB33),""))</f>
        <v/>
      </c>
      <c r="I65" s="5"/>
      <c r="J65" s="211"/>
      <c r="K65" s="5"/>
      <c r="L65" s="5"/>
      <c r="N65" s="2"/>
      <c r="O65" s="2"/>
      <c r="P65" s="2"/>
      <c r="Q65" s="2"/>
      <c r="R65" s="2"/>
      <c r="S65" s="2"/>
      <c r="T65" s="10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IU65" s="2"/>
      <c r="IV65" s="2"/>
      <c r="IW65" s="2"/>
      <c r="IX65" s="2"/>
      <c r="IY65" s="2"/>
      <c r="IZ65" s="2"/>
      <c r="JA65" s="2"/>
      <c r="JB65" s="2"/>
      <c r="JC65" s="2"/>
    </row>
    <row r="66" customFormat="false" ht="15.75" hidden="false" customHeight="false" outlineLevel="0" collapsed="false">
      <c r="A66" s="92"/>
      <c r="B66" s="184"/>
      <c r="C66" s="185"/>
      <c r="D66" s="186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7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8" t="str">
        <f aca="false">IFERROR(((E66-D66)/D66)*100,"")</f>
        <v/>
      </c>
      <c r="G66" s="190" t="str">
        <f aca="false">IF(IFERROR(MAX(BC33:BD33),"")=0,"",IFERROR(MAX(BC33:BD33),""))</f>
        <v/>
      </c>
      <c r="I66" s="209"/>
      <c r="J66" s="210"/>
      <c r="K66" s="209"/>
      <c r="L66" s="209"/>
      <c r="N66" s="2"/>
      <c r="O66" s="2"/>
      <c r="P66" s="2"/>
      <c r="Q66" s="2"/>
      <c r="R66" s="2"/>
      <c r="S66" s="2"/>
      <c r="T66" s="10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IU66" s="2"/>
      <c r="IV66" s="2"/>
      <c r="IW66" s="2"/>
      <c r="IX66" s="2"/>
      <c r="IY66" s="2"/>
      <c r="IZ66" s="2"/>
      <c r="JA66" s="2"/>
      <c r="JB66" s="2"/>
      <c r="JC66" s="2"/>
    </row>
    <row r="67" customFormat="false" ht="15.75" hidden="false" customHeight="false" outlineLevel="0" collapsed="false">
      <c r="A67" s="92"/>
      <c r="B67" s="184"/>
      <c r="C67" s="185"/>
      <c r="D67" s="186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7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8" t="str">
        <f aca="false">IFERROR(((E67-D67)/D67)*100,"")</f>
        <v/>
      </c>
      <c r="G67" s="190" t="str">
        <f aca="false">IF(IFERROR(MAX(BE33:BF33),"")=0,"",IFERROR(MAX(BE33:BF33),""))</f>
        <v/>
      </c>
      <c r="I67" s="5"/>
      <c r="J67" s="211"/>
      <c r="K67" s="5"/>
      <c r="L67" s="5"/>
      <c r="N67" s="2"/>
      <c r="O67" s="2"/>
      <c r="P67" s="2"/>
      <c r="Q67" s="2"/>
      <c r="R67" s="2"/>
      <c r="S67" s="2"/>
      <c r="T67" s="10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IU67" s="2"/>
      <c r="IV67" s="2"/>
      <c r="IW67" s="2"/>
      <c r="IX67" s="2"/>
      <c r="IY67" s="2"/>
      <c r="IZ67" s="2"/>
      <c r="JA67" s="2"/>
      <c r="JB67" s="2"/>
      <c r="JC67" s="2"/>
    </row>
    <row r="68" customFormat="false" ht="15.75" hidden="false" customHeight="false" outlineLevel="0" collapsed="false">
      <c r="A68" s="92"/>
      <c r="B68" s="184"/>
      <c r="C68" s="185"/>
      <c r="D68" s="186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7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8" t="str">
        <f aca="false">IFERROR(((E68-D68)/D68)*100,"")</f>
        <v/>
      </c>
      <c r="G68" s="190" t="str">
        <f aca="false">IF(IFERROR(MAX(BG33:BH33),"")=0,"",IFERROR(MAX(BG33:BH33),""))</f>
        <v/>
      </c>
      <c r="I68" s="209"/>
      <c r="J68" s="210"/>
      <c r="K68" s="209"/>
      <c r="L68" s="209"/>
      <c r="N68" s="2"/>
      <c r="O68" s="2"/>
      <c r="P68" s="2"/>
      <c r="Q68" s="2"/>
      <c r="R68" s="2"/>
      <c r="S68" s="2"/>
      <c r="T68" s="10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IU68" s="2"/>
      <c r="IV68" s="2"/>
      <c r="IW68" s="2"/>
      <c r="IX68" s="2"/>
      <c r="IY68" s="2"/>
      <c r="IZ68" s="2"/>
      <c r="JA68" s="2"/>
      <c r="JB68" s="2"/>
      <c r="JC68" s="2"/>
    </row>
    <row r="69" customFormat="false" ht="15.75" hidden="false" customHeight="false" outlineLevel="0" collapsed="false">
      <c r="A69" s="92"/>
      <c r="B69" s="184"/>
      <c r="C69" s="185"/>
      <c r="D69" s="186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7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8" t="str">
        <f aca="false">IFERROR(((E69-D69)/D69)*100,"")</f>
        <v/>
      </c>
      <c r="G69" s="190" t="str">
        <f aca="false">IF(IFERROR(MAX(BI33:BJ33),"")=0,"",IFERROR(MAX(BI33:BJ33),""))</f>
        <v/>
      </c>
      <c r="I69" s="5"/>
      <c r="J69" s="211"/>
      <c r="K69" s="5"/>
      <c r="L69" s="5"/>
      <c r="N69" s="2"/>
      <c r="O69" s="2"/>
      <c r="P69" s="2"/>
      <c r="Q69" s="2"/>
      <c r="R69" s="2"/>
      <c r="S69" s="2"/>
      <c r="T69" s="7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IU69" s="2"/>
      <c r="IV69" s="2"/>
      <c r="IW69" s="2"/>
      <c r="IX69" s="2"/>
      <c r="IY69" s="2"/>
      <c r="IZ69" s="2"/>
      <c r="JA69" s="2"/>
      <c r="JB69" s="2"/>
      <c r="JC69" s="2"/>
    </row>
    <row r="70" customFormat="false" ht="15.75" hidden="false" customHeight="false" outlineLevel="0" collapsed="false">
      <c r="A70" s="92"/>
      <c r="B70" s="184"/>
      <c r="C70" s="185"/>
      <c r="D70" s="186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7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8" t="str">
        <f aca="false">IFERROR(((E70-D70)/D70)*100,"")</f>
        <v/>
      </c>
      <c r="G70" s="190" t="str">
        <f aca="false">IF(IFERROR(MAX(BK33:BL33),"")=0,"",IFERROR(MAX(BK33:BL33),""))</f>
        <v/>
      </c>
      <c r="I70" s="209"/>
      <c r="J70" s="210"/>
      <c r="K70" s="209"/>
      <c r="L70" s="209"/>
      <c r="N70" s="2"/>
      <c r="O70" s="2"/>
      <c r="P70" s="2"/>
      <c r="Q70" s="2"/>
      <c r="R70" s="2"/>
      <c r="S70" s="2"/>
      <c r="T70" s="100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IU70" s="2"/>
      <c r="IV70" s="2"/>
      <c r="IW70" s="2"/>
      <c r="IX70" s="2"/>
      <c r="IY70" s="2"/>
      <c r="IZ70" s="2"/>
      <c r="JA70" s="2"/>
      <c r="JB70" s="2"/>
      <c r="JC70" s="2"/>
    </row>
    <row r="71" customFormat="false" ht="15.75" hidden="false" customHeight="false" outlineLevel="0" collapsed="false">
      <c r="A71" s="92"/>
      <c r="B71" s="184"/>
      <c r="C71" s="185"/>
      <c r="D71" s="186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7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8" t="str">
        <f aca="false">IFERROR(((E71-D71)/D71)*100,"")</f>
        <v/>
      </c>
      <c r="G71" s="190" t="str">
        <f aca="false">IF(IFERROR(MAX(BM33:BN33),"")=0,"",IFERROR(MAX(BM33:BN33),""))</f>
        <v/>
      </c>
      <c r="I71" s="5"/>
      <c r="J71" s="211"/>
      <c r="K71" s="5"/>
      <c r="L71" s="5"/>
      <c r="N71" s="2"/>
      <c r="O71" s="2"/>
      <c r="P71" s="2"/>
      <c r="Q71" s="2"/>
      <c r="R71" s="2"/>
      <c r="S71" s="2"/>
      <c r="T71" s="7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IU71" s="2"/>
      <c r="IV71" s="2"/>
      <c r="IW71" s="2"/>
      <c r="IX71" s="2"/>
      <c r="IY71" s="2"/>
      <c r="IZ71" s="2"/>
      <c r="JA71" s="2"/>
      <c r="JB71" s="2"/>
      <c r="JC71" s="2"/>
    </row>
    <row r="72" customFormat="false" ht="16.5" hidden="false" customHeight="false" outlineLevel="0" collapsed="false">
      <c r="A72" s="114"/>
      <c r="B72" s="191"/>
      <c r="C72" s="192"/>
      <c r="D72" s="193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4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5" t="str">
        <f aca="false">IFERROR(((E72-D72)/D72)*100,"")</f>
        <v/>
      </c>
      <c r="G72" s="196" t="str">
        <f aca="false">IF(IFERROR(MAX(BO33:BP33),"")=0,"",IFERROR(MAX(BO33:BP33),""))</f>
        <v/>
      </c>
      <c r="I72" s="209"/>
      <c r="J72" s="210"/>
      <c r="K72" s="209"/>
      <c r="L72" s="209"/>
      <c r="N72" s="2"/>
      <c r="O72" s="2"/>
      <c r="P72" s="2"/>
      <c r="Q72" s="2"/>
      <c r="R72" s="2"/>
      <c r="S72" s="2"/>
      <c r="T72" s="100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IU72" s="2"/>
      <c r="IV72" s="2"/>
      <c r="IW72" s="2"/>
      <c r="IX72" s="2"/>
      <c r="IY72" s="2"/>
      <c r="IZ72" s="2"/>
      <c r="JA72" s="2"/>
      <c r="JB72" s="2"/>
      <c r="JC72" s="2"/>
    </row>
    <row r="73" customFormat="false" ht="18" hidden="false" customHeight="false" outlineLevel="0" collapsed="false">
      <c r="A73" s="2"/>
      <c r="B73" s="2"/>
      <c r="C73" s="2"/>
      <c r="D73" s="2"/>
      <c r="E73" s="2"/>
      <c r="F73" s="2"/>
      <c r="G73" s="2"/>
      <c r="I73" s="5"/>
      <c r="J73" s="211"/>
      <c r="K73" s="5"/>
      <c r="L73" s="5"/>
      <c r="N73" s="2"/>
      <c r="O73" s="2"/>
      <c r="P73" s="2"/>
      <c r="Q73" s="2"/>
      <c r="R73" s="2"/>
      <c r="S73" s="2"/>
      <c r="T73" s="7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IU73" s="2"/>
      <c r="IV73" s="2"/>
      <c r="IW73" s="2"/>
      <c r="IX73" s="2"/>
      <c r="IY73" s="2"/>
      <c r="IZ73" s="2"/>
      <c r="JA73" s="2"/>
      <c r="JB73" s="2"/>
      <c r="JC73" s="2"/>
    </row>
    <row r="74" customFormat="false" ht="21" hidden="false" customHeight="false" outlineLevel="0" collapsed="false">
      <c r="A74" s="84" t="s">
        <v>57</v>
      </c>
      <c r="B74" s="84"/>
      <c r="C74" s="84"/>
      <c r="D74" s="84"/>
      <c r="E74" s="84"/>
      <c r="F74" s="84"/>
      <c r="G74" s="84"/>
      <c r="I74" s="209"/>
      <c r="J74" s="210"/>
      <c r="K74" s="209"/>
      <c r="L74" s="209"/>
      <c r="N74" s="2"/>
      <c r="O74" s="2"/>
      <c r="P74" s="2"/>
      <c r="Q74" s="2"/>
      <c r="R74" s="2"/>
      <c r="S74" s="2"/>
      <c r="T74" s="100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IU74" s="2"/>
      <c r="IV74" s="2"/>
      <c r="IW74" s="2"/>
      <c r="IX74" s="2"/>
      <c r="IY74" s="2"/>
      <c r="IZ74" s="2"/>
      <c r="JA74" s="2"/>
      <c r="JB74" s="2"/>
      <c r="JC74" s="2"/>
    </row>
    <row r="75" customFormat="false" ht="16.5" hidden="false" customHeight="false" outlineLevel="0" collapsed="false">
      <c r="A75" s="141"/>
      <c r="B75" s="142"/>
      <c r="C75" s="142"/>
      <c r="D75" s="142"/>
      <c r="E75" s="142"/>
      <c r="F75" s="142"/>
      <c r="G75" s="143"/>
      <c r="I75" s="5"/>
      <c r="J75" s="211"/>
      <c r="K75" s="5"/>
      <c r="L75" s="5"/>
      <c r="N75" s="2"/>
      <c r="O75" s="2"/>
      <c r="P75" s="2"/>
      <c r="Q75" s="2"/>
      <c r="R75" s="2"/>
      <c r="S75" s="2"/>
      <c r="T75" s="7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IU75" s="2"/>
      <c r="IV75" s="2"/>
      <c r="IW75" s="2"/>
      <c r="IX75" s="2"/>
      <c r="IY75" s="2"/>
      <c r="IZ75" s="2"/>
      <c r="JA75" s="2"/>
      <c r="JB75" s="2"/>
      <c r="JC75" s="2"/>
    </row>
    <row r="76" customFormat="false" ht="15.75" hidden="false" customHeight="false" outlineLevel="0" collapsed="false">
      <c r="A76" s="147"/>
      <c r="B76" s="2"/>
      <c r="C76" s="2"/>
      <c r="D76" s="2"/>
      <c r="E76" s="2"/>
      <c r="F76" s="2"/>
      <c r="G76" s="148"/>
      <c r="I76" s="209"/>
      <c r="J76" s="210"/>
      <c r="K76" s="209"/>
      <c r="L76" s="209"/>
      <c r="N76" s="2"/>
      <c r="O76" s="2"/>
      <c r="P76" s="2"/>
      <c r="Q76" s="2"/>
      <c r="R76" s="2"/>
      <c r="S76" s="2"/>
      <c r="T76" s="100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IU76" s="2"/>
      <c r="IV76" s="2"/>
      <c r="IW76" s="2"/>
      <c r="IX76" s="2"/>
      <c r="IY76" s="2"/>
      <c r="IZ76" s="2"/>
      <c r="JA76" s="2"/>
      <c r="JB76" s="2"/>
      <c r="JC76" s="2"/>
    </row>
    <row r="77" customFormat="false" ht="15.75" hidden="false" customHeight="false" outlineLevel="0" collapsed="false">
      <c r="A77" s="147"/>
      <c r="B77" s="2"/>
      <c r="C77" s="2"/>
      <c r="D77" s="2"/>
      <c r="E77" s="2"/>
      <c r="F77" s="2"/>
      <c r="G77" s="148"/>
      <c r="I77" s="5"/>
      <c r="J77" s="211"/>
      <c r="K77" s="5"/>
      <c r="L77" s="5"/>
      <c r="N77" s="2"/>
      <c r="O77" s="2"/>
      <c r="P77" s="2"/>
      <c r="Q77" s="2"/>
      <c r="R77" s="2"/>
      <c r="S77" s="2"/>
      <c r="T77" s="7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IU77" s="2"/>
      <c r="IV77" s="2"/>
      <c r="IW77" s="2"/>
      <c r="IX77" s="2"/>
      <c r="IY77" s="2"/>
      <c r="IZ77" s="2"/>
      <c r="JA77" s="2"/>
      <c r="JB77" s="2"/>
      <c r="JC77" s="2"/>
    </row>
    <row r="78" customFormat="false" ht="15.75" hidden="false" customHeight="false" outlineLevel="0" collapsed="false">
      <c r="A78" s="147"/>
      <c r="B78" s="2"/>
      <c r="C78" s="2"/>
      <c r="D78" s="2"/>
      <c r="E78" s="2"/>
      <c r="F78" s="2"/>
      <c r="G78" s="148"/>
      <c r="I78" s="209"/>
      <c r="J78" s="210"/>
      <c r="K78" s="209"/>
      <c r="L78" s="209"/>
      <c r="N78" s="2"/>
      <c r="O78" s="2"/>
      <c r="P78" s="2"/>
      <c r="Q78" s="2"/>
      <c r="R78" s="2"/>
      <c r="S78" s="2"/>
      <c r="T78" s="100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IU78" s="2"/>
      <c r="IV78" s="2"/>
      <c r="IW78" s="2"/>
      <c r="IX78" s="2"/>
      <c r="IY78" s="2"/>
      <c r="IZ78" s="2"/>
      <c r="JA78" s="2"/>
      <c r="JB78" s="2"/>
      <c r="JC78" s="2"/>
    </row>
    <row r="79" customFormat="false" ht="15.75" hidden="false" customHeight="false" outlineLevel="0" collapsed="false">
      <c r="A79" s="147"/>
      <c r="B79" s="2"/>
      <c r="C79" s="2"/>
      <c r="D79" s="2"/>
      <c r="E79" s="2"/>
      <c r="F79" s="2"/>
      <c r="G79" s="148"/>
      <c r="I79" s="5"/>
      <c r="J79" s="211"/>
      <c r="K79" s="5"/>
      <c r="L79" s="5"/>
      <c r="N79" s="2"/>
      <c r="O79" s="2"/>
      <c r="P79" s="2"/>
      <c r="Q79" s="2"/>
      <c r="R79" s="2"/>
      <c r="S79" s="2"/>
      <c r="T79" s="7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IU79" s="2"/>
      <c r="IV79" s="2"/>
      <c r="IW79" s="2"/>
      <c r="IX79" s="2"/>
      <c r="IY79" s="2"/>
      <c r="IZ79" s="2"/>
      <c r="JA79" s="2"/>
      <c r="JB79" s="2"/>
      <c r="JC79" s="2"/>
    </row>
    <row r="80" customFormat="false" ht="15.75" hidden="false" customHeight="false" outlineLevel="0" collapsed="false">
      <c r="A80" s="147"/>
      <c r="B80" s="2"/>
      <c r="C80" s="2"/>
      <c r="D80" s="2"/>
      <c r="E80" s="2"/>
      <c r="F80" s="2"/>
      <c r="G80" s="148"/>
      <c r="I80" s="209"/>
      <c r="J80" s="210"/>
      <c r="K80" s="209"/>
      <c r="L80" s="209"/>
      <c r="N80" s="2"/>
      <c r="O80" s="2"/>
      <c r="P80" s="2"/>
      <c r="Q80" s="2"/>
      <c r="R80" s="2"/>
      <c r="S80" s="2"/>
      <c r="T80" s="3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IU80" s="2"/>
      <c r="IV80" s="2"/>
      <c r="IW80" s="2"/>
      <c r="IX80" s="2"/>
      <c r="IY80" s="2"/>
      <c r="IZ80" s="2"/>
      <c r="JA80" s="2"/>
      <c r="JB80" s="2"/>
      <c r="JC80" s="2"/>
    </row>
    <row r="81" customFormat="false" ht="15.75" hidden="false" customHeight="false" outlineLevel="0" collapsed="false">
      <c r="A81" s="147"/>
      <c r="B81" s="2"/>
      <c r="C81" s="2"/>
      <c r="D81" s="2"/>
      <c r="E81" s="2"/>
      <c r="F81" s="2"/>
      <c r="G81" s="148"/>
      <c r="I81" s="5"/>
      <c r="J81" s="211"/>
      <c r="K81" s="5"/>
      <c r="L81" s="5"/>
      <c r="N81" s="2"/>
      <c r="O81" s="2"/>
      <c r="P81" s="2"/>
      <c r="Q81" s="2"/>
      <c r="R81" s="2"/>
      <c r="S81" s="2"/>
      <c r="T81" s="10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IU81" s="2"/>
      <c r="IV81" s="2"/>
      <c r="IW81" s="2"/>
      <c r="IX81" s="2"/>
      <c r="IY81" s="2"/>
      <c r="IZ81" s="2"/>
      <c r="JA81" s="2"/>
      <c r="JB81" s="2"/>
      <c r="JC81" s="2"/>
    </row>
    <row r="82" customFormat="false" ht="15.75" hidden="false" customHeight="false" outlineLevel="0" collapsed="false">
      <c r="A82" s="147"/>
      <c r="B82" s="2"/>
      <c r="C82" s="2"/>
      <c r="D82" s="2"/>
      <c r="E82" s="2"/>
      <c r="F82" s="2"/>
      <c r="G82" s="148"/>
      <c r="I82" s="209"/>
      <c r="J82" s="210"/>
      <c r="K82" s="209"/>
      <c r="L82" s="209"/>
      <c r="N82" s="2"/>
      <c r="O82" s="2"/>
      <c r="P82" s="2"/>
      <c r="Q82" s="2"/>
      <c r="R82" s="2"/>
      <c r="S82" s="2"/>
      <c r="T82" s="10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IU82" s="2"/>
      <c r="IV82" s="2"/>
      <c r="IW82" s="2"/>
      <c r="IX82" s="2"/>
      <c r="IY82" s="2"/>
      <c r="IZ82" s="2"/>
      <c r="JA82" s="2"/>
      <c r="JB82" s="2"/>
      <c r="JC82" s="2"/>
    </row>
    <row r="83" customFormat="false" ht="15.75" hidden="false" customHeight="false" outlineLevel="0" collapsed="false">
      <c r="A83" s="147"/>
      <c r="B83" s="2"/>
      <c r="C83" s="2"/>
      <c r="D83" s="2"/>
      <c r="E83" s="2"/>
      <c r="F83" s="2"/>
      <c r="G83" s="148"/>
      <c r="I83" s="5"/>
      <c r="J83" s="211"/>
      <c r="K83" s="5"/>
      <c r="L83" s="5"/>
      <c r="N83" s="2"/>
      <c r="O83" s="2"/>
      <c r="P83" s="2"/>
      <c r="Q83" s="2"/>
      <c r="R83" s="2"/>
      <c r="S83" s="2"/>
      <c r="T83" s="10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IU83" s="2"/>
      <c r="IV83" s="2"/>
      <c r="IW83" s="2"/>
      <c r="IX83" s="2"/>
      <c r="IY83" s="2"/>
      <c r="IZ83" s="2"/>
      <c r="JA83" s="2"/>
      <c r="JB83" s="2"/>
      <c r="JC83" s="2"/>
    </row>
    <row r="84" customFormat="false" ht="15.75" hidden="false" customHeight="false" outlineLevel="0" collapsed="false">
      <c r="A84" s="147"/>
      <c r="B84" s="2"/>
      <c r="C84" s="2"/>
      <c r="D84" s="2"/>
      <c r="E84" s="2"/>
      <c r="F84" s="2"/>
      <c r="G84" s="148"/>
      <c r="I84" s="209"/>
      <c r="J84" s="210"/>
      <c r="K84" s="209"/>
      <c r="L84" s="209"/>
      <c r="N84" s="2"/>
      <c r="O84" s="2"/>
      <c r="P84" s="2"/>
      <c r="Q84" s="2"/>
      <c r="R84" s="2"/>
      <c r="S84" s="2"/>
      <c r="T84" s="10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IU84" s="2"/>
      <c r="IV84" s="2"/>
      <c r="IW84" s="2"/>
      <c r="IX84" s="2"/>
      <c r="IY84" s="2"/>
      <c r="IZ84" s="2"/>
      <c r="JA84" s="2"/>
      <c r="JB84" s="2"/>
      <c r="JC84" s="2"/>
    </row>
    <row r="85" customFormat="false" ht="15.75" hidden="false" customHeight="false" outlineLevel="0" collapsed="false">
      <c r="A85" s="147"/>
      <c r="B85" s="2"/>
      <c r="C85" s="2"/>
      <c r="D85" s="2"/>
      <c r="E85" s="2"/>
      <c r="F85" s="2"/>
      <c r="G85" s="148"/>
      <c r="I85" s="5"/>
      <c r="J85" s="211"/>
      <c r="K85" s="5"/>
      <c r="L85" s="5"/>
      <c r="N85" s="2"/>
      <c r="O85" s="2"/>
      <c r="P85" s="2"/>
      <c r="Q85" s="2"/>
      <c r="R85" s="2"/>
      <c r="S85" s="2"/>
      <c r="T85" s="7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IU85" s="2"/>
      <c r="IV85" s="2"/>
      <c r="IW85" s="2"/>
      <c r="IX85" s="2"/>
      <c r="IY85" s="2"/>
      <c r="IZ85" s="2"/>
      <c r="JA85" s="2"/>
      <c r="JB85" s="2"/>
      <c r="JC85" s="2"/>
    </row>
    <row r="86" customFormat="false" ht="15.75" hidden="false" customHeight="false" outlineLevel="0" collapsed="false">
      <c r="A86" s="147"/>
      <c r="B86" s="2"/>
      <c r="C86" s="2"/>
      <c r="D86" s="2"/>
      <c r="E86" s="2"/>
      <c r="F86" s="2"/>
      <c r="G86" s="148"/>
      <c r="I86" s="209"/>
      <c r="J86" s="210"/>
      <c r="K86" s="209"/>
      <c r="L86" s="209"/>
      <c r="N86" s="2"/>
      <c r="O86" s="2"/>
      <c r="P86" s="2"/>
      <c r="Q86" s="2"/>
      <c r="R86" s="2"/>
      <c r="S86" s="2"/>
      <c r="T86" s="100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IU86" s="2"/>
      <c r="IV86" s="2"/>
      <c r="IW86" s="2"/>
      <c r="IX86" s="2"/>
      <c r="IY86" s="2"/>
      <c r="IZ86" s="2"/>
      <c r="JA86" s="2"/>
      <c r="JB86" s="2"/>
      <c r="JC86" s="2"/>
    </row>
    <row r="87" customFormat="false" ht="15.75" hidden="false" customHeight="false" outlineLevel="0" collapsed="false">
      <c r="A87" s="147"/>
      <c r="B87" s="2"/>
      <c r="C87" s="2"/>
      <c r="D87" s="2"/>
      <c r="E87" s="2"/>
      <c r="F87" s="2"/>
      <c r="G87" s="148"/>
      <c r="I87" s="5"/>
      <c r="J87" s="211"/>
      <c r="K87" s="5"/>
      <c r="L87" s="5"/>
      <c r="N87" s="2"/>
      <c r="O87" s="2"/>
      <c r="P87" s="2"/>
      <c r="Q87" s="2"/>
      <c r="R87" s="2"/>
      <c r="S87" s="2"/>
      <c r="T87" s="7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IU87" s="2"/>
      <c r="IV87" s="2"/>
      <c r="IW87" s="2"/>
      <c r="IX87" s="2"/>
      <c r="IY87" s="2"/>
      <c r="IZ87" s="2"/>
      <c r="JA87" s="2"/>
      <c r="JB87" s="2"/>
      <c r="JC87" s="2"/>
    </row>
    <row r="88" customFormat="false" ht="15.75" hidden="false" customHeight="false" outlineLevel="0" collapsed="false">
      <c r="A88" s="147"/>
      <c r="B88" s="2"/>
      <c r="C88" s="2"/>
      <c r="D88" s="2"/>
      <c r="E88" s="2"/>
      <c r="F88" s="2"/>
      <c r="G88" s="148"/>
      <c r="I88" s="209"/>
      <c r="J88" s="210"/>
      <c r="K88" s="209"/>
      <c r="L88" s="209"/>
      <c r="N88" s="2"/>
      <c r="O88" s="2"/>
      <c r="P88" s="2"/>
      <c r="Q88" s="2"/>
      <c r="R88" s="2"/>
      <c r="S88" s="2"/>
      <c r="T88" s="100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IU88" s="2"/>
      <c r="IV88" s="2"/>
      <c r="IW88" s="2"/>
      <c r="IX88" s="2"/>
      <c r="IY88" s="2"/>
      <c r="IZ88" s="2"/>
      <c r="JA88" s="2"/>
      <c r="JB88" s="2"/>
      <c r="JC88" s="2"/>
    </row>
    <row r="89" customFormat="false" ht="15.75" hidden="false" customHeight="false" outlineLevel="0" collapsed="false">
      <c r="A89" s="147"/>
      <c r="B89" s="2"/>
      <c r="C89" s="2"/>
      <c r="D89" s="2"/>
      <c r="E89" s="2"/>
      <c r="F89" s="2"/>
      <c r="G89" s="148"/>
      <c r="I89" s="5"/>
      <c r="J89" s="211"/>
      <c r="K89" s="5"/>
      <c r="L89" s="5"/>
      <c r="N89" s="2"/>
      <c r="O89" s="2"/>
      <c r="P89" s="2"/>
      <c r="Q89" s="2"/>
      <c r="R89" s="2"/>
      <c r="S89" s="2"/>
      <c r="T89" s="7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IU89" s="2"/>
      <c r="IV89" s="2"/>
      <c r="IW89" s="2"/>
      <c r="IX89" s="2"/>
      <c r="IY89" s="2"/>
      <c r="IZ89" s="2"/>
      <c r="JA89" s="2"/>
      <c r="JB89" s="2"/>
      <c r="JC89" s="2"/>
    </row>
    <row r="90" customFormat="false" ht="15.75" hidden="false" customHeight="false" outlineLevel="0" collapsed="false">
      <c r="A90" s="147"/>
      <c r="B90" s="2"/>
      <c r="C90" s="2"/>
      <c r="D90" s="2"/>
      <c r="E90" s="2"/>
      <c r="F90" s="2"/>
      <c r="G90" s="148"/>
      <c r="I90" s="209"/>
      <c r="J90" s="210"/>
      <c r="K90" s="209"/>
      <c r="L90" s="209"/>
      <c r="N90" s="2"/>
      <c r="O90" s="2"/>
      <c r="P90" s="2"/>
      <c r="Q90" s="2"/>
      <c r="R90" s="2"/>
      <c r="S90" s="2"/>
      <c r="T90" s="100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IU90" s="2"/>
      <c r="IV90" s="2"/>
      <c r="IW90" s="2"/>
      <c r="IX90" s="2"/>
      <c r="IY90" s="2"/>
      <c r="IZ90" s="2"/>
      <c r="JA90" s="2"/>
      <c r="JB90" s="2"/>
      <c r="JC90" s="2"/>
    </row>
    <row r="91" customFormat="false" ht="15.75" hidden="false" customHeight="false" outlineLevel="0" collapsed="false">
      <c r="A91" s="147"/>
      <c r="B91" s="2"/>
      <c r="C91" s="2"/>
      <c r="D91" s="2"/>
      <c r="E91" s="2"/>
      <c r="F91" s="2"/>
      <c r="G91" s="148"/>
      <c r="I91" s="5"/>
      <c r="J91" s="211"/>
      <c r="K91" s="5"/>
      <c r="L91" s="5"/>
      <c r="N91" s="2"/>
      <c r="O91" s="2"/>
      <c r="P91" s="2"/>
      <c r="Q91" s="2"/>
      <c r="R91" s="2"/>
      <c r="S91" s="2"/>
      <c r="T91" s="7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IU91" s="2"/>
      <c r="IV91" s="2"/>
      <c r="IW91" s="2"/>
      <c r="IX91" s="2"/>
      <c r="IY91" s="2"/>
      <c r="IZ91" s="2"/>
      <c r="JA91" s="2"/>
      <c r="JB91" s="2"/>
      <c r="JC91" s="2"/>
    </row>
    <row r="92" customFormat="false" ht="16.5" hidden="false" customHeight="false" outlineLevel="0" collapsed="false">
      <c r="A92" s="167"/>
      <c r="B92" s="168"/>
      <c r="C92" s="168"/>
      <c r="D92" s="168"/>
      <c r="E92" s="168"/>
      <c r="F92" s="168"/>
      <c r="G92" s="169"/>
      <c r="I92" s="209"/>
      <c r="J92" s="210"/>
      <c r="K92" s="209"/>
      <c r="L92" s="209"/>
      <c r="N92" s="2"/>
      <c r="O92" s="2"/>
      <c r="P92" s="2"/>
      <c r="Q92" s="2"/>
      <c r="R92" s="2"/>
      <c r="S92" s="2"/>
      <c r="T92" s="100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IU92" s="2"/>
      <c r="IV92" s="2"/>
      <c r="IW92" s="2"/>
      <c r="IX92" s="2"/>
      <c r="IY92" s="2"/>
      <c r="IZ92" s="2"/>
      <c r="JA92" s="2"/>
      <c r="JB92" s="2"/>
      <c r="JC92" s="2"/>
    </row>
    <row r="93" customFormat="false" ht="16.5" hidden="false" customHeight="false" outlineLevel="0" collapsed="false">
      <c r="A93" s="2"/>
      <c r="B93" s="2"/>
      <c r="C93" s="2"/>
      <c r="D93" s="2"/>
      <c r="E93" s="2"/>
      <c r="F93" s="2"/>
      <c r="G93" s="2"/>
      <c r="I93" s="5"/>
      <c r="J93" s="211"/>
      <c r="K93" s="5"/>
      <c r="L93" s="5"/>
      <c r="N93" s="2"/>
      <c r="O93" s="2"/>
      <c r="P93" s="2"/>
      <c r="Q93" s="2"/>
      <c r="R93" s="2"/>
      <c r="S93" s="2"/>
      <c r="T93" s="7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IU93" s="2"/>
      <c r="IV93" s="2"/>
      <c r="IW93" s="2"/>
      <c r="IX93" s="2"/>
      <c r="IY93" s="2"/>
      <c r="IZ93" s="2"/>
      <c r="JA93" s="2"/>
      <c r="JB93" s="2"/>
      <c r="J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I94" s="209"/>
      <c r="J94" s="210"/>
      <c r="K94" s="209"/>
      <c r="L94" s="209"/>
      <c r="N94" s="2"/>
      <c r="O94" s="2"/>
      <c r="P94" s="2"/>
      <c r="Q94" s="2"/>
      <c r="R94" s="2"/>
      <c r="S94" s="2"/>
      <c r="T94" s="100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IU94" s="2"/>
      <c r="IV94" s="2"/>
      <c r="IW94" s="2"/>
      <c r="IX94" s="2"/>
      <c r="IY94" s="2"/>
      <c r="IZ94" s="2"/>
      <c r="JA94" s="2"/>
      <c r="JB94" s="2"/>
      <c r="J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I95" s="5"/>
      <c r="J95" s="211"/>
      <c r="K95" s="5"/>
      <c r="L95" s="5"/>
      <c r="N95" s="2"/>
      <c r="O95" s="2"/>
      <c r="P95" s="2"/>
      <c r="Q95" s="2"/>
      <c r="R95" s="2"/>
      <c r="S95" s="2"/>
      <c r="T95" s="7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IU95" s="2"/>
      <c r="IV95" s="2"/>
      <c r="IW95" s="2"/>
      <c r="IX95" s="2"/>
      <c r="IY95" s="2"/>
      <c r="IZ95" s="2"/>
      <c r="JA95" s="2"/>
      <c r="JB95" s="2"/>
      <c r="J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I96" s="209"/>
      <c r="J96" s="210"/>
      <c r="K96" s="209"/>
      <c r="L96" s="209"/>
      <c r="N96" s="2"/>
      <c r="O96" s="2"/>
      <c r="P96" s="2"/>
      <c r="Q96" s="2"/>
      <c r="R96" s="2"/>
      <c r="S96" s="2"/>
      <c r="T96" s="3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IU96" s="2"/>
      <c r="IV96" s="2"/>
      <c r="IW96" s="2"/>
      <c r="IX96" s="2"/>
      <c r="IY96" s="2"/>
      <c r="IZ96" s="2"/>
      <c r="JA96" s="2"/>
      <c r="JB96" s="2"/>
      <c r="J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I97" s="5"/>
      <c r="J97" s="211"/>
      <c r="K97" s="5"/>
      <c r="L97" s="5"/>
      <c r="N97" s="2"/>
      <c r="O97" s="2"/>
      <c r="P97" s="2"/>
      <c r="Q97" s="2"/>
      <c r="R97" s="2"/>
      <c r="S97" s="2"/>
      <c r="T97" s="10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IU97" s="2"/>
      <c r="IV97" s="2"/>
      <c r="IW97" s="2"/>
      <c r="IX97" s="2"/>
      <c r="IY97" s="2"/>
      <c r="IZ97" s="2"/>
      <c r="JA97" s="2"/>
      <c r="JB97" s="2"/>
      <c r="J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I98" s="209"/>
      <c r="J98" s="210"/>
      <c r="K98" s="209"/>
      <c r="L98" s="209"/>
      <c r="N98" s="2"/>
      <c r="O98" s="2"/>
      <c r="P98" s="2"/>
      <c r="Q98" s="2"/>
      <c r="R98" s="2"/>
      <c r="S98" s="2"/>
      <c r="T98" s="10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IU98" s="2"/>
      <c r="IV98" s="2"/>
      <c r="IW98" s="2"/>
      <c r="IX98" s="2"/>
      <c r="IY98" s="2"/>
      <c r="IZ98" s="2"/>
      <c r="JA98" s="2"/>
      <c r="JB98" s="2"/>
      <c r="J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I99" s="5"/>
      <c r="J99" s="211"/>
      <c r="K99" s="5"/>
      <c r="L99" s="5"/>
      <c r="N99" s="2"/>
      <c r="O99" s="2"/>
      <c r="P99" s="2"/>
      <c r="Q99" s="2"/>
      <c r="R99" s="2"/>
      <c r="S99" s="2"/>
      <c r="T99" s="10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IU99" s="2"/>
      <c r="IV99" s="2"/>
      <c r="IW99" s="2"/>
      <c r="IX99" s="2"/>
      <c r="IY99" s="2"/>
      <c r="IZ99" s="2"/>
      <c r="JA99" s="2"/>
      <c r="JB99" s="2"/>
      <c r="J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I100" s="209"/>
      <c r="J100" s="210"/>
      <c r="K100" s="209"/>
      <c r="L100" s="209"/>
      <c r="N100" s="2"/>
      <c r="O100" s="2"/>
      <c r="P100" s="2"/>
      <c r="Q100" s="2"/>
      <c r="R100" s="2"/>
      <c r="S100" s="2"/>
      <c r="T100" s="10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IU100" s="2"/>
      <c r="IV100" s="2"/>
      <c r="IW100" s="2"/>
      <c r="IX100" s="2"/>
      <c r="IY100" s="2"/>
      <c r="IZ100" s="2"/>
      <c r="JA100" s="2"/>
      <c r="JB100" s="2"/>
      <c r="J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I101" s="5"/>
      <c r="J101" s="211"/>
      <c r="K101" s="5"/>
      <c r="L101" s="5"/>
      <c r="N101" s="2"/>
      <c r="O101" s="2"/>
      <c r="P101" s="2"/>
      <c r="Q101" s="2"/>
      <c r="R101" s="2"/>
      <c r="S101" s="2"/>
      <c r="T101" s="7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IU101" s="2"/>
      <c r="IV101" s="2"/>
      <c r="IW101" s="2"/>
      <c r="IX101" s="2"/>
      <c r="IY101" s="2"/>
      <c r="IZ101" s="2"/>
      <c r="JA101" s="2"/>
      <c r="JB101" s="2"/>
      <c r="J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I102" s="209"/>
      <c r="J102" s="210"/>
      <c r="K102" s="209"/>
      <c r="L102" s="209"/>
      <c r="N102" s="2"/>
      <c r="O102" s="2"/>
      <c r="P102" s="2"/>
      <c r="Q102" s="2"/>
      <c r="R102" s="2"/>
      <c r="S102" s="2"/>
      <c r="T102" s="100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IU102" s="2"/>
      <c r="IV102" s="2"/>
      <c r="IW102" s="2"/>
      <c r="IX102" s="2"/>
      <c r="IY102" s="2"/>
      <c r="IZ102" s="2"/>
      <c r="JA102" s="2"/>
      <c r="JB102" s="2"/>
      <c r="J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I103" s="5"/>
      <c r="J103" s="211"/>
      <c r="K103" s="5"/>
      <c r="L103" s="5"/>
      <c r="N103" s="2"/>
      <c r="O103" s="2"/>
      <c r="P103" s="2"/>
      <c r="Q103" s="2"/>
      <c r="R103" s="2"/>
      <c r="S103" s="2"/>
      <c r="T103" s="7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IU103" s="2"/>
      <c r="IV103" s="2"/>
      <c r="IW103" s="2"/>
      <c r="IX103" s="2"/>
      <c r="IY103" s="2"/>
      <c r="IZ103" s="2"/>
      <c r="JA103" s="2"/>
      <c r="JB103" s="2"/>
      <c r="J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I104" s="209"/>
      <c r="J104" s="210"/>
      <c r="K104" s="209"/>
      <c r="L104" s="209"/>
      <c r="N104" s="2"/>
      <c r="O104" s="2"/>
      <c r="P104" s="2"/>
      <c r="Q104" s="2"/>
      <c r="R104" s="2"/>
      <c r="S104" s="2"/>
      <c r="T104" s="100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IU104" s="2"/>
      <c r="IV104" s="2"/>
      <c r="IW104" s="2"/>
      <c r="IX104" s="2"/>
      <c r="IY104" s="2"/>
      <c r="IZ104" s="2"/>
      <c r="JA104" s="2"/>
      <c r="JB104" s="2"/>
      <c r="J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I105" s="5"/>
      <c r="J105" s="211"/>
      <c r="K105" s="5"/>
      <c r="L105" s="5"/>
      <c r="N105" s="2"/>
      <c r="O105" s="2"/>
      <c r="P105" s="2"/>
      <c r="Q105" s="2"/>
      <c r="R105" s="2"/>
      <c r="S105" s="2"/>
      <c r="T105" s="7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IU105" s="2"/>
      <c r="IV105" s="2"/>
      <c r="IW105" s="2"/>
      <c r="IX105" s="2"/>
      <c r="IY105" s="2"/>
      <c r="IZ105" s="2"/>
      <c r="JA105" s="2"/>
      <c r="JB105" s="2"/>
      <c r="J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I106" s="209"/>
      <c r="J106" s="210"/>
      <c r="K106" s="209"/>
      <c r="L106" s="209"/>
      <c r="N106" s="2"/>
      <c r="O106" s="2"/>
      <c r="P106" s="2"/>
      <c r="Q106" s="2"/>
      <c r="R106" s="2"/>
      <c r="S106" s="2"/>
      <c r="T106" s="100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IU106" s="2"/>
      <c r="IV106" s="2"/>
      <c r="IW106" s="2"/>
      <c r="IX106" s="2"/>
      <c r="IY106" s="2"/>
      <c r="IZ106" s="2"/>
      <c r="JA106" s="2"/>
      <c r="JB106" s="2"/>
      <c r="J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I107" s="5"/>
      <c r="J107" s="211"/>
      <c r="K107" s="5"/>
      <c r="L107" s="5"/>
      <c r="N107" s="2"/>
      <c r="O107" s="2"/>
      <c r="P107" s="2"/>
      <c r="Q107" s="2"/>
      <c r="R107" s="2"/>
      <c r="S107" s="2"/>
      <c r="T107" s="7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IU107" s="2"/>
      <c r="IV107" s="2"/>
      <c r="IW107" s="2"/>
      <c r="IX107" s="2"/>
      <c r="IY107" s="2"/>
      <c r="IZ107" s="2"/>
      <c r="JA107" s="2"/>
      <c r="JB107" s="2"/>
      <c r="J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I108" s="209"/>
      <c r="J108" s="210"/>
      <c r="K108" s="209"/>
      <c r="L108" s="209"/>
      <c r="N108" s="2"/>
      <c r="O108" s="2"/>
      <c r="P108" s="2"/>
      <c r="Q108" s="2"/>
      <c r="R108" s="2"/>
      <c r="S108" s="2"/>
      <c r="T108" s="100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IU108" s="2"/>
      <c r="IV108" s="2"/>
      <c r="IW108" s="2"/>
      <c r="IX108" s="2"/>
      <c r="IY108" s="2"/>
      <c r="IZ108" s="2"/>
      <c r="JA108" s="2"/>
      <c r="JB108" s="2"/>
      <c r="J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I109" s="5"/>
      <c r="J109" s="211"/>
      <c r="K109" s="5"/>
      <c r="L109" s="5"/>
      <c r="N109" s="2"/>
      <c r="O109" s="2"/>
      <c r="P109" s="2"/>
      <c r="Q109" s="2"/>
      <c r="R109" s="2"/>
      <c r="S109" s="2"/>
      <c r="T109" s="7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IU109" s="2"/>
      <c r="IV109" s="2"/>
      <c r="IW109" s="2"/>
      <c r="IX109" s="2"/>
      <c r="IY109" s="2"/>
      <c r="IZ109" s="2"/>
      <c r="JA109" s="2"/>
      <c r="JB109" s="2"/>
      <c r="J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I110" s="209"/>
      <c r="J110" s="210"/>
      <c r="K110" s="209"/>
      <c r="L110" s="209"/>
      <c r="N110" s="2"/>
      <c r="O110" s="2"/>
      <c r="P110" s="2"/>
      <c r="Q110" s="2"/>
      <c r="R110" s="2"/>
      <c r="S110" s="2"/>
      <c r="T110" s="100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IU110" s="2"/>
      <c r="IV110" s="2"/>
      <c r="IW110" s="2"/>
      <c r="IX110" s="2"/>
      <c r="IY110" s="2"/>
      <c r="IZ110" s="2"/>
      <c r="JA110" s="2"/>
      <c r="JB110" s="2"/>
      <c r="J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I111" s="5"/>
      <c r="J111" s="211"/>
      <c r="K111" s="5"/>
      <c r="L111" s="5"/>
      <c r="N111" s="2"/>
      <c r="O111" s="2"/>
      <c r="P111" s="2"/>
      <c r="Q111" s="2"/>
      <c r="R111" s="2"/>
      <c r="S111" s="2"/>
      <c r="T111" s="7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IU111" s="2"/>
      <c r="IV111" s="2"/>
      <c r="IW111" s="2"/>
      <c r="IX111" s="2"/>
      <c r="IY111" s="2"/>
      <c r="IZ111" s="2"/>
      <c r="JA111" s="2"/>
      <c r="JB111" s="2"/>
      <c r="J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I112" s="209"/>
      <c r="J112" s="210"/>
      <c r="K112" s="209"/>
      <c r="L112" s="209"/>
      <c r="N112" s="2"/>
      <c r="O112" s="2"/>
      <c r="P112" s="2"/>
      <c r="Q112" s="2"/>
      <c r="R112" s="2"/>
      <c r="S112" s="2"/>
      <c r="T112" s="3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IU112" s="2"/>
      <c r="IV112" s="2"/>
      <c r="IW112" s="2"/>
      <c r="IX112" s="2"/>
      <c r="IY112" s="2"/>
      <c r="IZ112" s="2"/>
      <c r="JA112" s="2"/>
      <c r="JB112" s="2"/>
      <c r="J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I113" s="5"/>
      <c r="J113" s="211"/>
      <c r="K113" s="5"/>
      <c r="L113" s="5"/>
      <c r="N113" s="2"/>
      <c r="O113" s="2"/>
      <c r="P113" s="2"/>
      <c r="Q113" s="2"/>
      <c r="R113" s="2"/>
      <c r="S113" s="2"/>
      <c r="T113" s="10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IU113" s="2"/>
      <c r="IV113" s="2"/>
      <c r="IW113" s="2"/>
      <c r="IX113" s="2"/>
      <c r="IY113" s="2"/>
      <c r="IZ113" s="2"/>
      <c r="JA113" s="2"/>
      <c r="JB113" s="2"/>
      <c r="J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I114" s="209"/>
      <c r="J114" s="210"/>
      <c r="K114" s="209"/>
      <c r="L114" s="209"/>
      <c r="N114" s="2"/>
      <c r="O114" s="2"/>
      <c r="P114" s="2"/>
      <c r="Q114" s="2"/>
      <c r="R114" s="2"/>
      <c r="S114" s="2"/>
      <c r="T114" s="10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IU114" s="2"/>
      <c r="IV114" s="2"/>
      <c r="IW114" s="2"/>
      <c r="IX114" s="2"/>
      <c r="IY114" s="2"/>
      <c r="IZ114" s="2"/>
      <c r="JA114" s="2"/>
      <c r="JB114" s="2"/>
      <c r="J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I115" s="5"/>
      <c r="J115" s="211"/>
      <c r="K115" s="5"/>
      <c r="L115" s="5"/>
      <c r="N115" s="2"/>
      <c r="O115" s="2"/>
      <c r="P115" s="2"/>
      <c r="Q115" s="2"/>
      <c r="R115" s="2"/>
      <c r="S115" s="2"/>
      <c r="T115" s="10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IU115" s="2"/>
      <c r="IV115" s="2"/>
      <c r="IW115" s="2"/>
      <c r="IX115" s="2"/>
      <c r="IY115" s="2"/>
      <c r="IZ115" s="2"/>
      <c r="JA115" s="2"/>
      <c r="JB115" s="2"/>
      <c r="J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I116" s="209"/>
      <c r="J116" s="210"/>
      <c r="K116" s="209"/>
      <c r="L116" s="209"/>
      <c r="N116" s="2"/>
      <c r="O116" s="2"/>
      <c r="P116" s="2"/>
      <c r="Q116" s="2"/>
      <c r="R116" s="2"/>
      <c r="S116" s="2"/>
      <c r="T116" s="10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IU116" s="2"/>
      <c r="IV116" s="2"/>
      <c r="IW116" s="2"/>
      <c r="IX116" s="2"/>
      <c r="IY116" s="2"/>
      <c r="IZ116" s="2"/>
      <c r="JA116" s="2"/>
      <c r="JB116" s="2"/>
      <c r="J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I117" s="5"/>
      <c r="J117" s="211"/>
      <c r="K117" s="5"/>
      <c r="L117" s="5"/>
      <c r="N117" s="2"/>
      <c r="O117" s="2"/>
      <c r="P117" s="2"/>
      <c r="Q117" s="2"/>
      <c r="R117" s="2"/>
      <c r="S117" s="2"/>
      <c r="T117" s="7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IU117" s="2"/>
      <c r="IV117" s="2"/>
      <c r="IW117" s="2"/>
      <c r="IX117" s="2"/>
      <c r="IY117" s="2"/>
      <c r="IZ117" s="2"/>
      <c r="JA117" s="2"/>
      <c r="JB117" s="2"/>
      <c r="J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I118" s="209"/>
      <c r="J118" s="210"/>
      <c r="K118" s="209"/>
      <c r="L118" s="209"/>
      <c r="N118" s="2"/>
      <c r="O118" s="2"/>
      <c r="P118" s="2"/>
      <c r="Q118" s="2"/>
      <c r="R118" s="2"/>
      <c r="S118" s="2"/>
      <c r="T118" s="100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IU118" s="2"/>
      <c r="IV118" s="2"/>
      <c r="IW118" s="2"/>
      <c r="IX118" s="2"/>
      <c r="IY118" s="2"/>
      <c r="IZ118" s="2"/>
      <c r="JA118" s="2"/>
      <c r="JB118" s="2"/>
      <c r="J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I119" s="5"/>
      <c r="J119" s="211"/>
      <c r="K119" s="5"/>
      <c r="L119" s="5"/>
      <c r="N119" s="2"/>
      <c r="O119" s="2"/>
      <c r="P119" s="2"/>
      <c r="Q119" s="2"/>
      <c r="R119" s="2"/>
      <c r="S119" s="2"/>
      <c r="T119" s="7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IU119" s="2"/>
      <c r="IV119" s="2"/>
      <c r="IW119" s="2"/>
      <c r="IX119" s="2"/>
      <c r="IY119" s="2"/>
      <c r="IZ119" s="2"/>
      <c r="JA119" s="2"/>
      <c r="JB119" s="2"/>
      <c r="J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I120" s="209"/>
      <c r="J120" s="210"/>
      <c r="K120" s="209"/>
      <c r="L120" s="209"/>
      <c r="N120" s="2"/>
      <c r="O120" s="2"/>
      <c r="P120" s="2"/>
      <c r="Q120" s="2"/>
      <c r="R120" s="2"/>
      <c r="S120" s="2"/>
      <c r="T120" s="100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IU120" s="2"/>
      <c r="IV120" s="2"/>
      <c r="IW120" s="2"/>
      <c r="IX120" s="2"/>
      <c r="IY120" s="2"/>
      <c r="IZ120" s="2"/>
      <c r="JA120" s="2"/>
      <c r="JB120" s="2"/>
      <c r="J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I121" s="5"/>
      <c r="J121" s="211"/>
      <c r="K121" s="5"/>
      <c r="L121" s="5"/>
      <c r="N121" s="2"/>
      <c r="O121" s="2"/>
      <c r="P121" s="2"/>
      <c r="Q121" s="2"/>
      <c r="R121" s="2"/>
      <c r="S121" s="2"/>
      <c r="T121" s="7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IU121" s="2"/>
      <c r="IV121" s="2"/>
      <c r="IW121" s="2"/>
      <c r="IX121" s="2"/>
      <c r="IY121" s="2"/>
      <c r="IZ121" s="2"/>
      <c r="JA121" s="2"/>
      <c r="JB121" s="2"/>
      <c r="J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I122" s="209"/>
      <c r="J122" s="210"/>
      <c r="K122" s="209"/>
      <c r="L122" s="209"/>
      <c r="N122" s="2"/>
      <c r="O122" s="2"/>
      <c r="P122" s="2"/>
      <c r="Q122" s="2"/>
      <c r="R122" s="2"/>
      <c r="S122" s="2"/>
      <c r="T122" s="100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IU122" s="2"/>
      <c r="IV122" s="2"/>
      <c r="IW122" s="2"/>
      <c r="IX122" s="2"/>
      <c r="IY122" s="2"/>
      <c r="IZ122" s="2"/>
      <c r="JA122" s="2"/>
      <c r="JB122" s="2"/>
      <c r="J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I123" s="5"/>
      <c r="J123" s="211"/>
      <c r="K123" s="5"/>
      <c r="L123" s="5"/>
      <c r="N123" s="2"/>
      <c r="O123" s="2"/>
      <c r="P123" s="2"/>
      <c r="Q123" s="2"/>
      <c r="R123" s="2"/>
      <c r="S123" s="2"/>
      <c r="T123" s="7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IU123" s="2"/>
      <c r="IV123" s="2"/>
      <c r="IW123" s="2"/>
      <c r="IX123" s="2"/>
      <c r="IY123" s="2"/>
      <c r="IZ123" s="2"/>
      <c r="JA123" s="2"/>
      <c r="JB123" s="2"/>
      <c r="J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I124" s="209"/>
      <c r="J124" s="210"/>
      <c r="K124" s="209"/>
      <c r="L124" s="209"/>
      <c r="N124" s="2"/>
      <c r="O124" s="2"/>
      <c r="P124" s="2"/>
      <c r="Q124" s="2"/>
      <c r="R124" s="2"/>
      <c r="S124" s="2"/>
      <c r="T124" s="100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IU124" s="2"/>
      <c r="IV124" s="2"/>
      <c r="IW124" s="2"/>
      <c r="IX124" s="2"/>
      <c r="IY124" s="2"/>
      <c r="IZ124" s="2"/>
      <c r="JA124" s="2"/>
      <c r="JB124" s="2"/>
      <c r="J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I125" s="5"/>
      <c r="J125" s="211"/>
      <c r="K125" s="5"/>
      <c r="L125" s="5"/>
      <c r="N125" s="2"/>
      <c r="O125" s="2"/>
      <c r="P125" s="2"/>
      <c r="Q125" s="2"/>
      <c r="R125" s="2"/>
      <c r="S125" s="2"/>
      <c r="T125" s="7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IU125" s="2"/>
      <c r="IV125" s="2"/>
      <c r="IW125" s="2"/>
      <c r="IX125" s="2"/>
      <c r="IY125" s="2"/>
      <c r="IZ125" s="2"/>
      <c r="JA125" s="2"/>
      <c r="JB125" s="2"/>
      <c r="J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I126" s="209"/>
      <c r="J126" s="210"/>
      <c r="K126" s="209"/>
      <c r="L126" s="209"/>
      <c r="N126" s="2"/>
      <c r="O126" s="2"/>
      <c r="P126" s="2"/>
      <c r="Q126" s="2"/>
      <c r="R126" s="2"/>
      <c r="S126" s="2"/>
      <c r="T126" s="100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IU126" s="2"/>
      <c r="IV126" s="2"/>
      <c r="IW126" s="2"/>
      <c r="IX126" s="2"/>
      <c r="IY126" s="2"/>
      <c r="IZ126" s="2"/>
      <c r="JA126" s="2"/>
      <c r="JB126" s="2"/>
      <c r="J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I127" s="5"/>
      <c r="J127" s="211"/>
      <c r="K127" s="5"/>
      <c r="L127" s="5"/>
      <c r="N127" s="2"/>
      <c r="O127" s="2"/>
      <c r="P127" s="2"/>
      <c r="Q127" s="2"/>
      <c r="R127" s="2"/>
      <c r="S127" s="2"/>
      <c r="T127" s="7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IU127" s="2"/>
      <c r="IV127" s="2"/>
      <c r="IW127" s="2"/>
      <c r="IX127" s="2"/>
      <c r="IY127" s="2"/>
      <c r="IZ127" s="2"/>
      <c r="JA127" s="2"/>
      <c r="JB127" s="2"/>
      <c r="J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I128" s="209"/>
      <c r="J128" s="210"/>
      <c r="K128" s="209"/>
      <c r="L128" s="209"/>
      <c r="N128" s="2"/>
      <c r="O128" s="2"/>
      <c r="P128" s="2"/>
      <c r="Q128" s="2"/>
      <c r="R128" s="2"/>
      <c r="S128" s="2"/>
      <c r="T128" s="3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IU128" s="2"/>
      <c r="IV128" s="2"/>
      <c r="IW128" s="2"/>
      <c r="IX128" s="2"/>
      <c r="IY128" s="2"/>
      <c r="IZ128" s="2"/>
      <c r="JA128" s="2"/>
      <c r="JB128" s="2"/>
      <c r="J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I129" s="5"/>
      <c r="J129" s="211"/>
      <c r="K129" s="5"/>
      <c r="L129" s="5"/>
      <c r="N129" s="2"/>
      <c r="O129" s="2"/>
      <c r="P129" s="2"/>
      <c r="Q129" s="2"/>
      <c r="R129" s="2"/>
      <c r="S129" s="2"/>
      <c r="T129" s="10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IU129" s="2"/>
      <c r="IV129" s="2"/>
      <c r="IW129" s="2"/>
      <c r="IX129" s="2"/>
      <c r="IY129" s="2"/>
      <c r="IZ129" s="2"/>
      <c r="JA129" s="2"/>
      <c r="JB129" s="2"/>
      <c r="J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I130" s="209"/>
      <c r="J130" s="210"/>
      <c r="K130" s="209"/>
      <c r="L130" s="209"/>
      <c r="N130" s="2"/>
      <c r="O130" s="2"/>
      <c r="P130" s="2"/>
      <c r="Q130" s="2"/>
      <c r="R130" s="2"/>
      <c r="S130" s="2"/>
      <c r="T130" s="10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IU130" s="2"/>
      <c r="IV130" s="2"/>
      <c r="IW130" s="2"/>
      <c r="IX130" s="2"/>
      <c r="IY130" s="2"/>
      <c r="IZ130" s="2"/>
      <c r="JA130" s="2"/>
      <c r="JB130" s="2"/>
      <c r="J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I131" s="5"/>
      <c r="J131" s="211"/>
      <c r="K131" s="5"/>
      <c r="L131" s="5"/>
      <c r="N131" s="2"/>
      <c r="O131" s="2"/>
      <c r="P131" s="2"/>
      <c r="Q131" s="2"/>
      <c r="R131" s="2"/>
      <c r="S131" s="2"/>
      <c r="T131" s="10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IU131" s="2"/>
      <c r="IV131" s="2"/>
      <c r="IW131" s="2"/>
      <c r="IX131" s="2"/>
      <c r="IY131" s="2"/>
      <c r="IZ131" s="2"/>
      <c r="JA131" s="2"/>
      <c r="JB131" s="2"/>
      <c r="J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I132" s="209"/>
      <c r="J132" s="210"/>
      <c r="K132" s="209"/>
      <c r="L132" s="209"/>
      <c r="N132" s="2"/>
      <c r="O132" s="2"/>
      <c r="P132" s="2"/>
      <c r="Q132" s="2"/>
      <c r="R132" s="2"/>
      <c r="S132" s="2"/>
      <c r="T132" s="10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IU132" s="2"/>
      <c r="IV132" s="2"/>
      <c r="IW132" s="2"/>
      <c r="IX132" s="2"/>
      <c r="IY132" s="2"/>
      <c r="IZ132" s="2"/>
      <c r="JA132" s="2"/>
      <c r="JB132" s="2"/>
      <c r="J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I133" s="5"/>
      <c r="J133" s="211"/>
      <c r="K133" s="5"/>
      <c r="L133" s="5"/>
      <c r="N133" s="2"/>
      <c r="O133" s="2"/>
      <c r="P133" s="2"/>
      <c r="Q133" s="2"/>
      <c r="R133" s="2"/>
      <c r="S133" s="2"/>
      <c r="T133" s="7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IU133" s="2"/>
      <c r="IV133" s="2"/>
      <c r="IW133" s="2"/>
      <c r="IX133" s="2"/>
      <c r="IY133" s="2"/>
      <c r="IZ133" s="2"/>
      <c r="JA133" s="2"/>
      <c r="JB133" s="2"/>
      <c r="J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I134" s="209"/>
      <c r="J134" s="210"/>
      <c r="K134" s="209"/>
      <c r="L134" s="209"/>
      <c r="N134" s="2"/>
      <c r="O134" s="2"/>
      <c r="P134" s="2"/>
      <c r="Q134" s="2"/>
      <c r="R134" s="2"/>
      <c r="S134" s="2"/>
      <c r="T134" s="100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IU134" s="2"/>
      <c r="IV134" s="2"/>
      <c r="IW134" s="2"/>
      <c r="IX134" s="2"/>
      <c r="IY134" s="2"/>
      <c r="IZ134" s="2"/>
      <c r="JA134" s="2"/>
      <c r="JB134" s="2"/>
      <c r="J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I135" s="5"/>
      <c r="J135" s="211"/>
      <c r="K135" s="5"/>
      <c r="L135" s="5"/>
      <c r="N135" s="2"/>
      <c r="O135" s="2"/>
      <c r="P135" s="2"/>
      <c r="Q135" s="2"/>
      <c r="R135" s="2"/>
      <c r="S135" s="2"/>
      <c r="T135" s="7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IU135" s="2"/>
      <c r="IV135" s="2"/>
      <c r="IW135" s="2"/>
      <c r="IX135" s="2"/>
      <c r="IY135" s="2"/>
      <c r="IZ135" s="2"/>
      <c r="JA135" s="2"/>
      <c r="JB135" s="2"/>
      <c r="J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I136" s="209"/>
      <c r="J136" s="210"/>
      <c r="K136" s="209"/>
      <c r="L136" s="209"/>
      <c r="N136" s="2"/>
      <c r="O136" s="2"/>
      <c r="P136" s="2"/>
      <c r="Q136" s="2"/>
      <c r="R136" s="2"/>
      <c r="S136" s="2"/>
      <c r="T136" s="100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IU136" s="2"/>
      <c r="IV136" s="2"/>
      <c r="IW136" s="2"/>
      <c r="IX136" s="2"/>
      <c r="IY136" s="2"/>
      <c r="IZ136" s="2"/>
      <c r="JA136" s="2"/>
      <c r="JB136" s="2"/>
      <c r="J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I137" s="5"/>
      <c r="J137" s="211"/>
      <c r="K137" s="5"/>
      <c r="L137" s="5"/>
      <c r="N137" s="2"/>
      <c r="O137" s="2"/>
      <c r="P137" s="2"/>
      <c r="Q137" s="2"/>
      <c r="R137" s="2"/>
      <c r="S137" s="2"/>
      <c r="T137" s="7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IU137" s="2"/>
      <c r="IV137" s="2"/>
      <c r="IW137" s="2"/>
      <c r="IX137" s="2"/>
      <c r="IY137" s="2"/>
      <c r="IZ137" s="2"/>
      <c r="JA137" s="2"/>
      <c r="JB137" s="2"/>
      <c r="J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I138" s="209"/>
      <c r="J138" s="210"/>
      <c r="K138" s="209"/>
      <c r="L138" s="209"/>
      <c r="N138" s="2"/>
      <c r="O138" s="2"/>
      <c r="P138" s="2"/>
      <c r="Q138" s="2"/>
      <c r="R138" s="2"/>
      <c r="S138" s="2"/>
      <c r="T138" s="100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IU138" s="2"/>
      <c r="IV138" s="2"/>
      <c r="IW138" s="2"/>
      <c r="IX138" s="2"/>
      <c r="IY138" s="2"/>
      <c r="IZ138" s="2"/>
      <c r="JA138" s="2"/>
      <c r="JB138" s="2"/>
      <c r="J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I139" s="5"/>
      <c r="J139" s="211"/>
      <c r="K139" s="5"/>
      <c r="L139" s="5"/>
      <c r="N139" s="2"/>
      <c r="O139" s="2"/>
      <c r="P139" s="2"/>
      <c r="Q139" s="2"/>
      <c r="R139" s="2"/>
      <c r="S139" s="2"/>
      <c r="T139" s="7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IU139" s="2"/>
      <c r="IV139" s="2"/>
      <c r="IW139" s="2"/>
      <c r="IX139" s="2"/>
      <c r="IY139" s="2"/>
      <c r="IZ139" s="2"/>
      <c r="JA139" s="2"/>
      <c r="JB139" s="2"/>
      <c r="J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I140" s="209"/>
      <c r="J140" s="210"/>
      <c r="K140" s="209"/>
      <c r="L140" s="209"/>
      <c r="N140" s="2"/>
      <c r="O140" s="2"/>
      <c r="P140" s="2"/>
      <c r="Q140" s="2"/>
      <c r="R140" s="2"/>
      <c r="S140" s="2"/>
      <c r="T140" s="100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IU140" s="2"/>
      <c r="IV140" s="2"/>
      <c r="IW140" s="2"/>
      <c r="IX140" s="2"/>
      <c r="IY140" s="2"/>
      <c r="IZ140" s="2"/>
      <c r="JA140" s="2"/>
      <c r="JB140" s="2"/>
      <c r="J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I141" s="5"/>
      <c r="J141" s="211"/>
      <c r="K141" s="5"/>
      <c r="L141" s="5"/>
      <c r="N141" s="2"/>
      <c r="O141" s="2"/>
      <c r="P141" s="2"/>
      <c r="Q141" s="2"/>
      <c r="R141" s="2"/>
      <c r="S141" s="2"/>
      <c r="T141" s="7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IU141" s="2"/>
      <c r="IV141" s="2"/>
      <c r="IW141" s="2"/>
      <c r="IX141" s="2"/>
      <c r="IY141" s="2"/>
      <c r="IZ141" s="2"/>
      <c r="JA141" s="2"/>
      <c r="JB141" s="2"/>
      <c r="J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I142" s="209"/>
      <c r="J142" s="210"/>
      <c r="K142" s="209"/>
      <c r="L142" s="209"/>
      <c r="N142" s="2"/>
      <c r="O142" s="2"/>
      <c r="P142" s="2"/>
      <c r="Q142" s="2"/>
      <c r="R142" s="2"/>
      <c r="S142" s="2"/>
      <c r="T142" s="100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IU142" s="2"/>
      <c r="IV142" s="2"/>
      <c r="IW142" s="2"/>
      <c r="IX142" s="2"/>
      <c r="IY142" s="2"/>
      <c r="IZ142" s="2"/>
      <c r="JA142" s="2"/>
      <c r="JB142" s="2"/>
      <c r="J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I143" s="5"/>
      <c r="J143" s="211"/>
      <c r="K143" s="5"/>
      <c r="L143" s="5"/>
      <c r="N143" s="2"/>
      <c r="O143" s="2"/>
      <c r="P143" s="2"/>
      <c r="Q143" s="2"/>
      <c r="R143" s="2"/>
      <c r="S143" s="2"/>
      <c r="T143" s="7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IU143" s="2"/>
      <c r="IV143" s="2"/>
      <c r="IW143" s="2"/>
      <c r="IX143" s="2"/>
      <c r="IY143" s="2"/>
      <c r="IZ143" s="2"/>
      <c r="JA143" s="2"/>
      <c r="JB143" s="2"/>
      <c r="J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I144" s="209"/>
      <c r="J144" s="210"/>
      <c r="K144" s="209"/>
      <c r="L144" s="209"/>
      <c r="N144" s="2"/>
      <c r="O144" s="2"/>
      <c r="P144" s="2"/>
      <c r="Q144" s="2"/>
      <c r="R144" s="2"/>
      <c r="S144" s="2"/>
      <c r="T144" s="3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IU144" s="2"/>
      <c r="IV144" s="2"/>
      <c r="IW144" s="2"/>
      <c r="IX144" s="2"/>
      <c r="IY144" s="2"/>
      <c r="IZ144" s="2"/>
      <c r="JA144" s="2"/>
      <c r="JB144" s="2"/>
      <c r="J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I145" s="5"/>
      <c r="J145" s="211"/>
      <c r="K145" s="5"/>
      <c r="L145" s="5"/>
      <c r="N145" s="2"/>
      <c r="O145" s="2"/>
      <c r="P145" s="2"/>
      <c r="Q145" s="2"/>
      <c r="R145" s="2"/>
      <c r="S145" s="2"/>
      <c r="T145" s="10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IU145" s="2"/>
      <c r="IV145" s="2"/>
      <c r="IW145" s="2"/>
      <c r="IX145" s="2"/>
      <c r="IY145" s="2"/>
      <c r="IZ145" s="2"/>
      <c r="JA145" s="2"/>
      <c r="JB145" s="2"/>
      <c r="J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I146" s="209"/>
      <c r="J146" s="210"/>
      <c r="K146" s="209"/>
      <c r="L146" s="209"/>
      <c r="N146" s="2"/>
      <c r="O146" s="2"/>
      <c r="P146" s="2"/>
      <c r="Q146" s="2"/>
      <c r="R146" s="2"/>
      <c r="S146" s="2"/>
      <c r="T146" s="10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IU146" s="2"/>
      <c r="IV146" s="2"/>
      <c r="IW146" s="2"/>
      <c r="IX146" s="2"/>
      <c r="IY146" s="2"/>
      <c r="IZ146" s="2"/>
      <c r="JA146" s="2"/>
      <c r="JB146" s="2"/>
      <c r="J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I147" s="5"/>
      <c r="J147" s="211"/>
      <c r="K147" s="5"/>
      <c r="L147" s="5"/>
      <c r="N147" s="2"/>
      <c r="O147" s="2"/>
      <c r="P147" s="2"/>
      <c r="Q147" s="2"/>
      <c r="R147" s="2"/>
      <c r="S147" s="2"/>
      <c r="T147" s="10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IU147" s="2"/>
      <c r="IV147" s="2"/>
      <c r="IW147" s="2"/>
      <c r="IX147" s="2"/>
      <c r="IY147" s="2"/>
      <c r="IZ147" s="2"/>
      <c r="JA147" s="2"/>
      <c r="JB147" s="2"/>
      <c r="J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I148" s="209"/>
      <c r="J148" s="210"/>
      <c r="K148" s="209"/>
      <c r="L148" s="209"/>
      <c r="N148" s="2"/>
      <c r="O148" s="2"/>
      <c r="P148" s="2"/>
      <c r="Q148" s="2"/>
      <c r="R148" s="2"/>
      <c r="S148" s="2"/>
      <c r="T148" s="10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IU148" s="2"/>
      <c r="IV148" s="2"/>
      <c r="IW148" s="2"/>
      <c r="IX148" s="2"/>
      <c r="IY148" s="2"/>
      <c r="IZ148" s="2"/>
      <c r="JA148" s="2"/>
      <c r="JB148" s="2"/>
      <c r="J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I149" s="5"/>
      <c r="J149" s="211"/>
      <c r="K149" s="5"/>
      <c r="L149" s="5"/>
      <c r="N149" s="2"/>
      <c r="O149" s="2"/>
      <c r="P149" s="2"/>
      <c r="Q149" s="2"/>
      <c r="R149" s="2"/>
      <c r="S149" s="2"/>
      <c r="T149" s="7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IU149" s="2"/>
      <c r="IV149" s="2"/>
      <c r="IW149" s="2"/>
      <c r="IX149" s="2"/>
      <c r="IY149" s="2"/>
      <c r="IZ149" s="2"/>
      <c r="JA149" s="2"/>
      <c r="JB149" s="2"/>
      <c r="J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I150" s="209"/>
      <c r="J150" s="210"/>
      <c r="K150" s="209"/>
      <c r="L150" s="209"/>
      <c r="N150" s="2"/>
      <c r="O150" s="2"/>
      <c r="P150" s="2"/>
      <c r="Q150" s="2"/>
      <c r="R150" s="2"/>
      <c r="S150" s="2"/>
      <c r="T150" s="100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IU150" s="2"/>
      <c r="IV150" s="2"/>
      <c r="IW150" s="2"/>
      <c r="IX150" s="2"/>
      <c r="IY150" s="2"/>
      <c r="IZ150" s="2"/>
      <c r="JA150" s="2"/>
      <c r="JB150" s="2"/>
      <c r="J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I151" s="5"/>
      <c r="J151" s="211"/>
      <c r="K151" s="5"/>
      <c r="L151" s="5"/>
      <c r="N151" s="2"/>
      <c r="O151" s="2"/>
      <c r="P151" s="2"/>
      <c r="Q151" s="2"/>
      <c r="R151" s="2"/>
      <c r="S151" s="2"/>
      <c r="T151" s="7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IU151" s="2"/>
      <c r="IV151" s="2"/>
      <c r="IW151" s="2"/>
      <c r="IX151" s="2"/>
      <c r="IY151" s="2"/>
      <c r="IZ151" s="2"/>
      <c r="JA151" s="2"/>
      <c r="JB151" s="2"/>
      <c r="J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I152" s="209"/>
      <c r="J152" s="210"/>
      <c r="K152" s="209"/>
      <c r="L152" s="209"/>
      <c r="N152" s="2"/>
      <c r="O152" s="2"/>
      <c r="P152" s="2"/>
      <c r="Q152" s="2"/>
      <c r="R152" s="2"/>
      <c r="S152" s="2"/>
      <c r="T152" s="100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IU152" s="2"/>
      <c r="IV152" s="2"/>
      <c r="IW152" s="2"/>
      <c r="IX152" s="2"/>
      <c r="IY152" s="2"/>
      <c r="IZ152" s="2"/>
      <c r="JA152" s="2"/>
      <c r="JB152" s="2"/>
      <c r="J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I153" s="5"/>
      <c r="J153" s="211"/>
      <c r="K153" s="5"/>
      <c r="L153" s="5"/>
      <c r="N153" s="2"/>
      <c r="O153" s="2"/>
      <c r="P153" s="2"/>
      <c r="Q153" s="2"/>
      <c r="R153" s="2"/>
      <c r="S153" s="2"/>
      <c r="T153" s="7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IU153" s="2"/>
      <c r="IV153" s="2"/>
      <c r="IW153" s="2"/>
      <c r="IX153" s="2"/>
      <c r="IY153" s="2"/>
      <c r="IZ153" s="2"/>
      <c r="JA153" s="2"/>
      <c r="JB153" s="2"/>
      <c r="J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I154" s="209"/>
      <c r="J154" s="210"/>
      <c r="K154" s="209"/>
      <c r="L154" s="209"/>
      <c r="N154" s="2"/>
      <c r="O154" s="2"/>
      <c r="P154" s="2"/>
      <c r="Q154" s="2"/>
      <c r="R154" s="2"/>
      <c r="S154" s="2"/>
      <c r="T154" s="100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IU154" s="2"/>
      <c r="IV154" s="2"/>
      <c r="IW154" s="2"/>
      <c r="IX154" s="2"/>
      <c r="IY154" s="2"/>
      <c r="IZ154" s="2"/>
      <c r="JA154" s="2"/>
      <c r="JB154" s="2"/>
      <c r="J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I155" s="5"/>
      <c r="J155" s="211"/>
      <c r="K155" s="5"/>
      <c r="L155" s="5"/>
      <c r="N155" s="2"/>
      <c r="O155" s="2"/>
      <c r="P155" s="2"/>
      <c r="Q155" s="2"/>
      <c r="R155" s="2"/>
      <c r="S155" s="2"/>
      <c r="T155" s="7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IU155" s="2"/>
      <c r="IV155" s="2"/>
      <c r="IW155" s="2"/>
      <c r="IX155" s="2"/>
      <c r="IY155" s="2"/>
      <c r="IZ155" s="2"/>
      <c r="JA155" s="2"/>
      <c r="JB155" s="2"/>
      <c r="J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I156" s="209"/>
      <c r="J156" s="210"/>
      <c r="K156" s="209"/>
      <c r="L156" s="209"/>
      <c r="N156" s="2"/>
      <c r="O156" s="2"/>
      <c r="P156" s="2"/>
      <c r="Q156" s="2"/>
      <c r="R156" s="2"/>
      <c r="S156" s="2"/>
      <c r="T156" s="100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IU156" s="2"/>
      <c r="IV156" s="2"/>
      <c r="IW156" s="2"/>
      <c r="IX156" s="2"/>
      <c r="IY156" s="2"/>
      <c r="IZ156" s="2"/>
      <c r="JA156" s="2"/>
      <c r="JB156" s="2"/>
      <c r="J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I157" s="5"/>
      <c r="J157" s="211"/>
      <c r="K157" s="5"/>
      <c r="L157" s="5"/>
      <c r="N157" s="2"/>
      <c r="O157" s="2"/>
      <c r="P157" s="2"/>
      <c r="Q157" s="2"/>
      <c r="R157" s="2"/>
      <c r="S157" s="2"/>
      <c r="T157" s="7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IU157" s="2"/>
      <c r="IV157" s="2"/>
      <c r="IW157" s="2"/>
      <c r="IX157" s="2"/>
      <c r="IY157" s="2"/>
      <c r="IZ157" s="2"/>
      <c r="JA157" s="2"/>
      <c r="JB157" s="2"/>
      <c r="J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I158" s="209"/>
      <c r="J158" s="210"/>
      <c r="K158" s="209"/>
      <c r="L158" s="209"/>
      <c r="N158" s="2"/>
      <c r="O158" s="2"/>
      <c r="P158" s="2"/>
      <c r="Q158" s="2"/>
      <c r="R158" s="2"/>
      <c r="S158" s="2"/>
      <c r="T158" s="100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IU158" s="2"/>
      <c r="IV158" s="2"/>
      <c r="IW158" s="2"/>
      <c r="IX158" s="2"/>
      <c r="IY158" s="2"/>
      <c r="IZ158" s="2"/>
      <c r="JA158" s="2"/>
      <c r="JB158" s="2"/>
      <c r="J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I159" s="5"/>
      <c r="J159" s="211"/>
      <c r="K159" s="5"/>
      <c r="L159" s="5"/>
      <c r="N159" s="2"/>
      <c r="O159" s="2"/>
      <c r="P159" s="2"/>
      <c r="Q159" s="2"/>
      <c r="R159" s="2"/>
      <c r="S159" s="2"/>
      <c r="T159" s="7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IU159" s="2"/>
      <c r="IV159" s="2"/>
      <c r="IW159" s="2"/>
      <c r="IX159" s="2"/>
      <c r="IY159" s="2"/>
      <c r="IZ159" s="2"/>
      <c r="JA159" s="2"/>
      <c r="JB159" s="2"/>
      <c r="J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I160" s="209"/>
      <c r="J160" s="210"/>
      <c r="K160" s="209"/>
      <c r="L160" s="209"/>
      <c r="N160" s="2"/>
      <c r="O160" s="2"/>
      <c r="P160" s="2"/>
      <c r="Q160" s="2"/>
      <c r="R160" s="2"/>
      <c r="S160" s="2"/>
      <c r="T160" s="3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IU160" s="2"/>
      <c r="IV160" s="2"/>
      <c r="IW160" s="2"/>
      <c r="IX160" s="2"/>
      <c r="IY160" s="2"/>
      <c r="IZ160" s="2"/>
      <c r="JA160" s="2"/>
      <c r="JB160" s="2"/>
      <c r="J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I161" s="5"/>
      <c r="J161" s="211"/>
      <c r="K161" s="5"/>
      <c r="L161" s="5"/>
      <c r="N161" s="2"/>
      <c r="O161" s="2"/>
      <c r="P161" s="2"/>
      <c r="Q161" s="2"/>
      <c r="R161" s="2"/>
      <c r="S161" s="2"/>
      <c r="T161" s="10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IU161" s="2"/>
      <c r="IV161" s="2"/>
      <c r="IW161" s="2"/>
      <c r="IX161" s="2"/>
      <c r="IY161" s="2"/>
      <c r="IZ161" s="2"/>
      <c r="JA161" s="2"/>
      <c r="JB161" s="2"/>
      <c r="J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I162" s="209"/>
      <c r="J162" s="210"/>
      <c r="K162" s="209"/>
      <c r="L162" s="209"/>
      <c r="N162" s="2"/>
      <c r="O162" s="2"/>
      <c r="P162" s="2"/>
      <c r="Q162" s="2"/>
      <c r="R162" s="2"/>
      <c r="S162" s="2"/>
      <c r="T162" s="10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IU162" s="2"/>
      <c r="IV162" s="2"/>
      <c r="IW162" s="2"/>
      <c r="IX162" s="2"/>
      <c r="IY162" s="2"/>
      <c r="IZ162" s="2"/>
      <c r="JA162" s="2"/>
      <c r="JB162" s="2"/>
      <c r="J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I163" s="5"/>
      <c r="J163" s="211"/>
      <c r="K163" s="5"/>
      <c r="L163" s="5"/>
      <c r="N163" s="2"/>
      <c r="O163" s="2"/>
      <c r="P163" s="2"/>
      <c r="Q163" s="2"/>
      <c r="R163" s="2"/>
      <c r="S163" s="2"/>
      <c r="T163" s="10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IU163" s="2"/>
      <c r="IV163" s="2"/>
      <c r="IW163" s="2"/>
      <c r="IX163" s="2"/>
      <c r="IY163" s="2"/>
      <c r="IZ163" s="2"/>
      <c r="JA163" s="2"/>
      <c r="JB163" s="2"/>
      <c r="J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I164" s="209"/>
      <c r="J164" s="210"/>
      <c r="K164" s="209"/>
      <c r="L164" s="209"/>
      <c r="N164" s="2"/>
      <c r="O164" s="2"/>
      <c r="P164" s="2"/>
      <c r="Q164" s="2"/>
      <c r="R164" s="2"/>
      <c r="S164" s="2"/>
      <c r="T164" s="10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IU164" s="2"/>
      <c r="IV164" s="2"/>
      <c r="IW164" s="2"/>
      <c r="IX164" s="2"/>
      <c r="IY164" s="2"/>
      <c r="IZ164" s="2"/>
      <c r="JA164" s="2"/>
      <c r="JB164" s="2"/>
      <c r="J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I165" s="5"/>
      <c r="J165" s="211"/>
      <c r="K165" s="5"/>
      <c r="L165" s="5"/>
      <c r="N165" s="2"/>
      <c r="O165" s="2"/>
      <c r="P165" s="2"/>
      <c r="Q165" s="2"/>
      <c r="R165" s="2"/>
      <c r="S165" s="2"/>
      <c r="T165" s="7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IU165" s="2"/>
      <c r="IV165" s="2"/>
      <c r="IW165" s="2"/>
      <c r="IX165" s="2"/>
      <c r="IY165" s="2"/>
      <c r="IZ165" s="2"/>
      <c r="JA165" s="2"/>
      <c r="JB165" s="2"/>
      <c r="J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I166" s="209"/>
      <c r="J166" s="210"/>
      <c r="K166" s="209"/>
      <c r="L166" s="209"/>
      <c r="N166" s="2"/>
      <c r="O166" s="2"/>
      <c r="P166" s="2"/>
      <c r="Q166" s="2"/>
      <c r="R166" s="2"/>
      <c r="S166" s="2"/>
      <c r="T166" s="100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IU166" s="2"/>
      <c r="IV166" s="2"/>
      <c r="IW166" s="2"/>
      <c r="IX166" s="2"/>
      <c r="IY166" s="2"/>
      <c r="IZ166" s="2"/>
      <c r="JA166" s="2"/>
      <c r="JB166" s="2"/>
      <c r="J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I167" s="5"/>
      <c r="J167" s="211"/>
      <c r="K167" s="5"/>
      <c r="L167" s="5"/>
      <c r="N167" s="2"/>
      <c r="O167" s="2"/>
      <c r="P167" s="2"/>
      <c r="Q167" s="2"/>
      <c r="R167" s="2"/>
      <c r="S167" s="2"/>
      <c r="T167" s="7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IU167" s="2"/>
      <c r="IV167" s="2"/>
      <c r="IW167" s="2"/>
      <c r="IX167" s="2"/>
      <c r="IY167" s="2"/>
      <c r="IZ167" s="2"/>
      <c r="JA167" s="2"/>
      <c r="JB167" s="2"/>
      <c r="J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I168" s="209"/>
      <c r="J168" s="210"/>
      <c r="K168" s="209"/>
      <c r="L168" s="209"/>
      <c r="N168" s="2"/>
      <c r="O168" s="2"/>
      <c r="P168" s="2"/>
      <c r="Q168" s="2"/>
      <c r="R168" s="2"/>
      <c r="S168" s="2"/>
      <c r="T168" s="100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IU168" s="2"/>
      <c r="IV168" s="2"/>
      <c r="IW168" s="2"/>
      <c r="IX168" s="2"/>
      <c r="IY168" s="2"/>
      <c r="IZ168" s="2"/>
      <c r="JA168" s="2"/>
      <c r="JB168" s="2"/>
      <c r="J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I169" s="5"/>
      <c r="J169" s="211"/>
      <c r="K169" s="5"/>
      <c r="L169" s="5"/>
      <c r="N169" s="2"/>
      <c r="O169" s="2"/>
      <c r="P169" s="2"/>
      <c r="Q169" s="2"/>
      <c r="R169" s="2"/>
      <c r="S169" s="2"/>
      <c r="T169" s="7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IU169" s="2"/>
      <c r="IV169" s="2"/>
      <c r="IW169" s="2"/>
      <c r="IX169" s="2"/>
      <c r="IY169" s="2"/>
      <c r="IZ169" s="2"/>
      <c r="JA169" s="2"/>
      <c r="JB169" s="2"/>
      <c r="J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I170" s="209"/>
      <c r="J170" s="210"/>
      <c r="K170" s="209"/>
      <c r="L170" s="209"/>
      <c r="N170" s="2"/>
      <c r="O170" s="2"/>
      <c r="P170" s="2"/>
      <c r="Q170" s="2"/>
      <c r="R170" s="2"/>
      <c r="S170" s="2"/>
      <c r="T170" s="100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IU170" s="2"/>
      <c r="IV170" s="2"/>
      <c r="IW170" s="2"/>
      <c r="IX170" s="2"/>
      <c r="IY170" s="2"/>
      <c r="IZ170" s="2"/>
      <c r="JA170" s="2"/>
      <c r="JB170" s="2"/>
      <c r="J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I171" s="5"/>
      <c r="J171" s="211"/>
      <c r="K171" s="5"/>
      <c r="L171" s="5"/>
      <c r="N171" s="2"/>
      <c r="O171" s="2"/>
      <c r="P171" s="2"/>
      <c r="Q171" s="2"/>
      <c r="R171" s="2"/>
      <c r="S171" s="2"/>
      <c r="T171" s="7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IU171" s="2"/>
      <c r="IV171" s="2"/>
      <c r="IW171" s="2"/>
      <c r="IX171" s="2"/>
      <c r="IY171" s="2"/>
      <c r="IZ171" s="2"/>
      <c r="JA171" s="2"/>
      <c r="JB171" s="2"/>
      <c r="J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I172" s="209"/>
      <c r="J172" s="210"/>
      <c r="K172" s="209"/>
      <c r="L172" s="209"/>
      <c r="N172" s="2"/>
      <c r="O172" s="2"/>
      <c r="P172" s="2"/>
      <c r="Q172" s="2"/>
      <c r="R172" s="2"/>
      <c r="S172" s="2"/>
      <c r="T172" s="100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IU172" s="2"/>
      <c r="IV172" s="2"/>
      <c r="IW172" s="2"/>
      <c r="IX172" s="2"/>
      <c r="IY172" s="2"/>
      <c r="IZ172" s="2"/>
      <c r="JA172" s="2"/>
      <c r="JB172" s="2"/>
      <c r="J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I173" s="5"/>
      <c r="J173" s="211"/>
      <c r="K173" s="5"/>
      <c r="L173" s="5"/>
      <c r="N173" s="2"/>
      <c r="O173" s="2"/>
      <c r="P173" s="2"/>
      <c r="Q173" s="2"/>
      <c r="R173" s="2"/>
      <c r="S173" s="2"/>
      <c r="T173" s="7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IU173" s="2"/>
      <c r="IV173" s="2"/>
      <c r="IW173" s="2"/>
      <c r="IX173" s="2"/>
      <c r="IY173" s="2"/>
      <c r="IZ173" s="2"/>
      <c r="JA173" s="2"/>
      <c r="JB173" s="2"/>
      <c r="J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I174" s="209"/>
      <c r="J174" s="210"/>
      <c r="K174" s="209"/>
      <c r="L174" s="209"/>
      <c r="N174" s="2"/>
      <c r="O174" s="2"/>
      <c r="P174" s="2"/>
      <c r="Q174" s="2"/>
      <c r="R174" s="2"/>
      <c r="S174" s="2"/>
      <c r="T174" s="100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IU174" s="2"/>
      <c r="IV174" s="2"/>
      <c r="IW174" s="2"/>
      <c r="IX174" s="2"/>
      <c r="IY174" s="2"/>
      <c r="IZ174" s="2"/>
      <c r="JA174" s="2"/>
      <c r="JB174" s="2"/>
      <c r="J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I175" s="5"/>
      <c r="J175" s="211"/>
      <c r="K175" s="5"/>
      <c r="L175" s="5"/>
      <c r="N175" s="2"/>
      <c r="O175" s="2"/>
      <c r="P175" s="2"/>
      <c r="Q175" s="2"/>
      <c r="R175" s="2"/>
      <c r="S175" s="2"/>
      <c r="T175" s="7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IU175" s="2"/>
      <c r="IV175" s="2"/>
      <c r="IW175" s="2"/>
      <c r="IX175" s="2"/>
      <c r="IY175" s="2"/>
      <c r="IZ175" s="2"/>
      <c r="JA175" s="2"/>
      <c r="JB175" s="2"/>
      <c r="J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I176" s="209"/>
      <c r="J176" s="210"/>
      <c r="K176" s="209"/>
      <c r="L176" s="209"/>
      <c r="N176" s="2"/>
      <c r="O176" s="2"/>
      <c r="P176" s="2"/>
      <c r="Q176" s="2"/>
      <c r="R176" s="2"/>
      <c r="S176" s="2"/>
      <c r="T176" s="3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IU176" s="2"/>
      <c r="IV176" s="2"/>
      <c r="IW176" s="2"/>
      <c r="IX176" s="2"/>
      <c r="IY176" s="2"/>
      <c r="IZ176" s="2"/>
      <c r="JA176" s="2"/>
      <c r="JB176" s="2"/>
      <c r="J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I177" s="5"/>
      <c r="J177" s="211"/>
      <c r="K177" s="5"/>
      <c r="L177" s="5"/>
      <c r="N177" s="2"/>
      <c r="O177" s="2"/>
      <c r="P177" s="2"/>
      <c r="Q177" s="2"/>
      <c r="R177" s="2"/>
      <c r="S177" s="2"/>
      <c r="T177" s="10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IU177" s="2"/>
      <c r="IV177" s="2"/>
      <c r="IW177" s="2"/>
      <c r="IX177" s="2"/>
      <c r="IY177" s="2"/>
      <c r="IZ177" s="2"/>
      <c r="JA177" s="2"/>
      <c r="JB177" s="2"/>
      <c r="J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I178" s="209"/>
      <c r="J178" s="210"/>
      <c r="K178" s="209"/>
      <c r="L178" s="209"/>
      <c r="N178" s="2"/>
      <c r="O178" s="2"/>
      <c r="P178" s="2"/>
      <c r="Q178" s="2"/>
      <c r="R178" s="2"/>
      <c r="S178" s="2"/>
      <c r="T178" s="10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IU178" s="2"/>
      <c r="IV178" s="2"/>
      <c r="IW178" s="2"/>
      <c r="IX178" s="2"/>
      <c r="IY178" s="2"/>
      <c r="IZ178" s="2"/>
      <c r="JA178" s="2"/>
      <c r="JB178" s="2"/>
      <c r="J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I179" s="5"/>
      <c r="J179" s="211"/>
      <c r="K179" s="5"/>
      <c r="L179" s="5"/>
      <c r="N179" s="2"/>
      <c r="O179" s="2"/>
      <c r="P179" s="2"/>
      <c r="Q179" s="2"/>
      <c r="R179" s="2"/>
      <c r="S179" s="2"/>
      <c r="T179" s="10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IU179" s="2"/>
      <c r="IV179" s="2"/>
      <c r="IW179" s="2"/>
      <c r="IX179" s="2"/>
      <c r="IY179" s="2"/>
      <c r="IZ179" s="2"/>
      <c r="JA179" s="2"/>
      <c r="JB179" s="2"/>
      <c r="J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I180" s="209"/>
      <c r="J180" s="210"/>
      <c r="K180" s="209"/>
      <c r="L180" s="209"/>
      <c r="N180" s="2"/>
      <c r="O180" s="2"/>
      <c r="P180" s="2"/>
      <c r="Q180" s="2"/>
      <c r="R180" s="2"/>
      <c r="S180" s="2"/>
      <c r="T180" s="10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IU180" s="2"/>
      <c r="IV180" s="2"/>
      <c r="IW180" s="2"/>
      <c r="IX180" s="2"/>
      <c r="IY180" s="2"/>
      <c r="IZ180" s="2"/>
      <c r="JA180" s="2"/>
      <c r="JB180" s="2"/>
      <c r="J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I181" s="5"/>
      <c r="J181" s="211"/>
      <c r="K181" s="5"/>
      <c r="L181" s="5"/>
      <c r="N181" s="2"/>
      <c r="O181" s="2"/>
      <c r="P181" s="2"/>
      <c r="Q181" s="2"/>
      <c r="R181" s="2"/>
      <c r="S181" s="2"/>
      <c r="T181" s="7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IU181" s="2"/>
      <c r="IV181" s="2"/>
      <c r="IW181" s="2"/>
      <c r="IX181" s="2"/>
      <c r="IY181" s="2"/>
      <c r="IZ181" s="2"/>
      <c r="JA181" s="2"/>
      <c r="JB181" s="2"/>
      <c r="J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I182" s="209"/>
      <c r="J182" s="210"/>
      <c r="K182" s="209"/>
      <c r="L182" s="209"/>
      <c r="N182" s="2"/>
      <c r="O182" s="2"/>
      <c r="P182" s="2"/>
      <c r="Q182" s="2"/>
      <c r="R182" s="2"/>
      <c r="S182" s="2"/>
      <c r="T182" s="100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IU182" s="2"/>
      <c r="IV182" s="2"/>
      <c r="IW182" s="2"/>
      <c r="IX182" s="2"/>
      <c r="IY182" s="2"/>
      <c r="IZ182" s="2"/>
      <c r="JA182" s="2"/>
      <c r="JB182" s="2"/>
      <c r="J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I183" s="5"/>
      <c r="J183" s="211"/>
      <c r="K183" s="5"/>
      <c r="L183" s="5"/>
      <c r="N183" s="2"/>
      <c r="O183" s="2"/>
      <c r="P183" s="2"/>
      <c r="Q183" s="2"/>
      <c r="R183" s="2"/>
      <c r="S183" s="2"/>
      <c r="T183" s="7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IU183" s="2"/>
      <c r="IV183" s="2"/>
      <c r="IW183" s="2"/>
      <c r="IX183" s="2"/>
      <c r="IY183" s="2"/>
      <c r="IZ183" s="2"/>
      <c r="JA183" s="2"/>
      <c r="JB183" s="2"/>
      <c r="J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I184" s="209"/>
      <c r="J184" s="210"/>
      <c r="K184" s="209"/>
      <c r="L184" s="209"/>
      <c r="N184" s="2"/>
      <c r="O184" s="2"/>
      <c r="P184" s="2"/>
      <c r="Q184" s="2"/>
      <c r="R184" s="2"/>
      <c r="S184" s="2"/>
      <c r="T184" s="100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IU184" s="2"/>
      <c r="IV184" s="2"/>
      <c r="IW184" s="2"/>
      <c r="IX184" s="2"/>
      <c r="IY184" s="2"/>
      <c r="IZ184" s="2"/>
      <c r="JA184" s="2"/>
      <c r="JB184" s="2"/>
      <c r="J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I185" s="5"/>
      <c r="J185" s="211"/>
      <c r="K185" s="5"/>
      <c r="L185" s="5"/>
      <c r="N185" s="2"/>
      <c r="O185" s="2"/>
      <c r="P185" s="2"/>
      <c r="Q185" s="2"/>
      <c r="R185" s="2"/>
      <c r="S185" s="2"/>
      <c r="T185" s="7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IU185" s="2"/>
      <c r="IV185" s="2"/>
      <c r="IW185" s="2"/>
      <c r="IX185" s="2"/>
      <c r="IY185" s="2"/>
      <c r="IZ185" s="2"/>
      <c r="JA185" s="2"/>
      <c r="JB185" s="2"/>
      <c r="J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I186" s="209"/>
      <c r="J186" s="210"/>
      <c r="K186" s="209"/>
      <c r="L186" s="209"/>
      <c r="N186" s="2"/>
      <c r="O186" s="2"/>
      <c r="P186" s="2"/>
      <c r="Q186" s="2"/>
      <c r="R186" s="2"/>
      <c r="S186" s="2"/>
      <c r="T186" s="100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IU186" s="2"/>
      <c r="IV186" s="2"/>
      <c r="IW186" s="2"/>
      <c r="IX186" s="2"/>
      <c r="IY186" s="2"/>
      <c r="IZ186" s="2"/>
      <c r="JA186" s="2"/>
      <c r="JB186" s="2"/>
      <c r="J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I187" s="5"/>
      <c r="J187" s="211"/>
      <c r="K187" s="5"/>
      <c r="L187" s="5"/>
      <c r="N187" s="2"/>
      <c r="O187" s="2"/>
      <c r="P187" s="2"/>
      <c r="Q187" s="2"/>
      <c r="R187" s="2"/>
      <c r="S187" s="2"/>
      <c r="T187" s="7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IU187" s="2"/>
      <c r="IV187" s="2"/>
      <c r="IW187" s="2"/>
      <c r="IX187" s="2"/>
      <c r="IY187" s="2"/>
      <c r="IZ187" s="2"/>
      <c r="JA187" s="2"/>
      <c r="JB187" s="2"/>
      <c r="J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I188" s="209"/>
      <c r="J188" s="210"/>
      <c r="K188" s="209"/>
      <c r="L188" s="209"/>
      <c r="N188" s="2"/>
      <c r="O188" s="2"/>
      <c r="P188" s="2"/>
      <c r="Q188" s="2"/>
      <c r="R188" s="2"/>
      <c r="S188" s="2"/>
      <c r="T188" s="100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IU188" s="2"/>
      <c r="IV188" s="2"/>
      <c r="IW188" s="2"/>
      <c r="IX188" s="2"/>
      <c r="IY188" s="2"/>
      <c r="IZ188" s="2"/>
      <c r="JA188" s="2"/>
      <c r="JB188" s="2"/>
      <c r="J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I189" s="5"/>
      <c r="J189" s="211"/>
      <c r="K189" s="5"/>
      <c r="L189" s="5"/>
      <c r="N189" s="2"/>
      <c r="O189" s="2"/>
      <c r="P189" s="2"/>
      <c r="Q189" s="2"/>
      <c r="R189" s="2"/>
      <c r="S189" s="2"/>
      <c r="T189" s="7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IU189" s="2"/>
      <c r="IV189" s="2"/>
      <c r="IW189" s="2"/>
      <c r="IX189" s="2"/>
      <c r="IY189" s="2"/>
      <c r="IZ189" s="2"/>
      <c r="JA189" s="2"/>
      <c r="JB189" s="2"/>
      <c r="J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I190" s="209"/>
      <c r="J190" s="210"/>
      <c r="K190" s="209"/>
      <c r="L190" s="209"/>
      <c r="N190" s="2"/>
      <c r="O190" s="2"/>
      <c r="P190" s="2"/>
      <c r="Q190" s="2"/>
      <c r="R190" s="2"/>
      <c r="S190" s="2"/>
      <c r="T190" s="100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IU190" s="2"/>
      <c r="IV190" s="2"/>
      <c r="IW190" s="2"/>
      <c r="IX190" s="2"/>
      <c r="IY190" s="2"/>
      <c r="IZ190" s="2"/>
      <c r="JA190" s="2"/>
      <c r="JB190" s="2"/>
      <c r="J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I191" s="5"/>
      <c r="J191" s="211"/>
      <c r="K191" s="5"/>
      <c r="L191" s="5"/>
      <c r="N191" s="2"/>
      <c r="O191" s="2"/>
      <c r="P191" s="2"/>
      <c r="Q191" s="2"/>
      <c r="R191" s="2"/>
      <c r="S191" s="2"/>
      <c r="T191" s="7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IU191" s="2"/>
      <c r="IV191" s="2"/>
      <c r="IW191" s="2"/>
      <c r="IX191" s="2"/>
      <c r="IY191" s="2"/>
      <c r="IZ191" s="2"/>
      <c r="JA191" s="2"/>
      <c r="JB191" s="2"/>
      <c r="J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I192" s="209"/>
      <c r="J192" s="210"/>
      <c r="K192" s="209"/>
      <c r="L192" s="209"/>
      <c r="N192" s="2"/>
      <c r="O192" s="2"/>
      <c r="P192" s="2"/>
      <c r="Q192" s="2"/>
      <c r="R192" s="2"/>
      <c r="S192" s="2"/>
      <c r="T192" s="3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IU192" s="2"/>
      <c r="IV192" s="2"/>
      <c r="IW192" s="2"/>
      <c r="IX192" s="2"/>
      <c r="IY192" s="2"/>
      <c r="IZ192" s="2"/>
      <c r="JA192" s="2"/>
      <c r="JB192" s="2"/>
      <c r="J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I193" s="5"/>
      <c r="J193" s="211"/>
      <c r="K193" s="5"/>
      <c r="L193" s="5"/>
      <c r="N193" s="2"/>
      <c r="O193" s="2"/>
      <c r="P193" s="2"/>
      <c r="Q193" s="2"/>
      <c r="R193" s="2"/>
      <c r="S193" s="2"/>
      <c r="T193" s="10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IU193" s="2"/>
      <c r="IV193" s="2"/>
      <c r="IW193" s="2"/>
      <c r="IX193" s="2"/>
      <c r="IY193" s="2"/>
      <c r="IZ193" s="2"/>
      <c r="JA193" s="2"/>
      <c r="JB193" s="2"/>
      <c r="J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I194" s="209"/>
      <c r="J194" s="210"/>
      <c r="K194" s="209"/>
      <c r="L194" s="209"/>
      <c r="N194" s="2"/>
      <c r="O194" s="2"/>
      <c r="P194" s="2"/>
      <c r="Q194" s="2"/>
      <c r="R194" s="2"/>
      <c r="S194" s="2"/>
      <c r="T194" s="10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IU194" s="2"/>
      <c r="IV194" s="2"/>
      <c r="IW194" s="2"/>
      <c r="IX194" s="2"/>
      <c r="IY194" s="2"/>
      <c r="IZ194" s="2"/>
      <c r="JA194" s="2"/>
      <c r="JB194" s="2"/>
      <c r="J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I195" s="5"/>
      <c r="J195" s="211"/>
      <c r="K195" s="5"/>
      <c r="L195" s="5"/>
      <c r="N195" s="2"/>
      <c r="O195" s="2"/>
      <c r="P195" s="2"/>
      <c r="Q195" s="2"/>
      <c r="R195" s="2"/>
      <c r="S195" s="2"/>
      <c r="T195" s="10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IU195" s="2"/>
      <c r="IV195" s="2"/>
      <c r="IW195" s="2"/>
      <c r="IX195" s="2"/>
      <c r="IY195" s="2"/>
      <c r="IZ195" s="2"/>
      <c r="JA195" s="2"/>
      <c r="JB195" s="2"/>
      <c r="J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I196" s="209"/>
      <c r="J196" s="210"/>
      <c r="K196" s="209"/>
      <c r="L196" s="209"/>
      <c r="N196" s="2"/>
      <c r="O196" s="2"/>
      <c r="P196" s="2"/>
      <c r="Q196" s="2"/>
      <c r="R196" s="2"/>
      <c r="S196" s="2"/>
      <c r="T196" s="10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IU196" s="2"/>
      <c r="IV196" s="2"/>
      <c r="IW196" s="2"/>
      <c r="IX196" s="2"/>
      <c r="IY196" s="2"/>
      <c r="IZ196" s="2"/>
      <c r="JA196" s="2"/>
      <c r="JB196" s="2"/>
      <c r="J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I197" s="5"/>
      <c r="J197" s="211"/>
      <c r="K197" s="5"/>
      <c r="L197" s="5"/>
      <c r="N197" s="2"/>
      <c r="O197" s="2"/>
      <c r="P197" s="2"/>
      <c r="Q197" s="2"/>
      <c r="R197" s="2"/>
      <c r="S197" s="2"/>
      <c r="T197" s="7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IU197" s="2"/>
      <c r="IV197" s="2"/>
      <c r="IW197" s="2"/>
      <c r="IX197" s="2"/>
      <c r="IY197" s="2"/>
      <c r="IZ197" s="2"/>
      <c r="JA197" s="2"/>
      <c r="JB197" s="2"/>
      <c r="J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I198" s="209"/>
      <c r="J198" s="210"/>
      <c r="K198" s="209"/>
      <c r="L198" s="209"/>
      <c r="N198" s="2"/>
      <c r="O198" s="2"/>
      <c r="P198" s="2"/>
      <c r="Q198" s="2"/>
      <c r="R198" s="2"/>
      <c r="S198" s="2"/>
      <c r="T198" s="100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IU198" s="2"/>
      <c r="IV198" s="2"/>
      <c r="IW198" s="2"/>
      <c r="IX198" s="2"/>
      <c r="IY198" s="2"/>
      <c r="IZ198" s="2"/>
      <c r="JA198" s="2"/>
      <c r="JB198" s="2"/>
      <c r="J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I199" s="5"/>
      <c r="J199" s="211"/>
      <c r="K199" s="5"/>
      <c r="L199" s="5"/>
      <c r="N199" s="2"/>
      <c r="O199" s="2"/>
      <c r="P199" s="2"/>
      <c r="Q199" s="2"/>
      <c r="R199" s="2"/>
      <c r="S199" s="2"/>
      <c r="T199" s="7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IU199" s="2"/>
      <c r="IV199" s="2"/>
      <c r="IW199" s="2"/>
      <c r="IX199" s="2"/>
      <c r="IY199" s="2"/>
      <c r="IZ199" s="2"/>
      <c r="JA199" s="2"/>
      <c r="JB199" s="2"/>
      <c r="J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I200" s="209"/>
      <c r="J200" s="210"/>
      <c r="K200" s="209"/>
      <c r="L200" s="209"/>
      <c r="N200" s="2"/>
      <c r="O200" s="2"/>
      <c r="P200" s="2"/>
      <c r="Q200" s="2"/>
      <c r="R200" s="2"/>
      <c r="S200" s="2"/>
      <c r="T200" s="100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IU200" s="2"/>
      <c r="IV200" s="2"/>
      <c r="IW200" s="2"/>
      <c r="IX200" s="2"/>
      <c r="IY200" s="2"/>
      <c r="IZ200" s="2"/>
      <c r="JA200" s="2"/>
      <c r="JB200" s="2"/>
      <c r="J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I201" s="5"/>
      <c r="J201" s="211"/>
      <c r="K201" s="5"/>
      <c r="L201" s="5"/>
      <c r="N201" s="2"/>
      <c r="O201" s="2"/>
      <c r="P201" s="2"/>
      <c r="Q201" s="2"/>
      <c r="R201" s="2"/>
      <c r="S201" s="2"/>
      <c r="T201" s="7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IU201" s="2"/>
      <c r="IV201" s="2"/>
      <c r="IW201" s="2"/>
      <c r="IX201" s="2"/>
      <c r="IY201" s="2"/>
      <c r="IZ201" s="2"/>
      <c r="JA201" s="2"/>
      <c r="JB201" s="2"/>
      <c r="J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I202" s="209"/>
      <c r="J202" s="210"/>
      <c r="K202" s="209"/>
      <c r="L202" s="209"/>
      <c r="N202" s="2"/>
      <c r="O202" s="2"/>
      <c r="P202" s="2"/>
      <c r="Q202" s="2"/>
      <c r="R202" s="2"/>
      <c r="S202" s="2"/>
      <c r="T202" s="100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IU202" s="2"/>
      <c r="IV202" s="2"/>
      <c r="IW202" s="2"/>
      <c r="IX202" s="2"/>
      <c r="IY202" s="2"/>
      <c r="IZ202" s="2"/>
      <c r="JA202" s="2"/>
      <c r="JB202" s="2"/>
      <c r="J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I203" s="5"/>
      <c r="J203" s="211"/>
      <c r="K203" s="5"/>
      <c r="L203" s="5"/>
      <c r="N203" s="2"/>
      <c r="O203" s="2"/>
      <c r="P203" s="2"/>
      <c r="Q203" s="2"/>
      <c r="R203" s="2"/>
      <c r="S203" s="2"/>
      <c r="T203" s="7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IU203" s="2"/>
      <c r="IV203" s="2"/>
      <c r="IW203" s="2"/>
      <c r="IX203" s="2"/>
      <c r="IY203" s="2"/>
      <c r="IZ203" s="2"/>
      <c r="JA203" s="2"/>
      <c r="JB203" s="2"/>
      <c r="J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I204" s="209"/>
      <c r="J204" s="210"/>
      <c r="K204" s="209"/>
      <c r="L204" s="209"/>
      <c r="N204" s="2"/>
      <c r="O204" s="2"/>
      <c r="P204" s="2"/>
      <c r="Q204" s="2"/>
      <c r="R204" s="2"/>
      <c r="S204" s="2"/>
      <c r="T204" s="100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IU204" s="2"/>
      <c r="IV204" s="2"/>
      <c r="IW204" s="2"/>
      <c r="IX204" s="2"/>
      <c r="IY204" s="2"/>
      <c r="IZ204" s="2"/>
      <c r="JA204" s="2"/>
      <c r="JB204" s="2"/>
      <c r="J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I205" s="5"/>
      <c r="J205" s="211"/>
      <c r="K205" s="5"/>
      <c r="L205" s="5"/>
      <c r="N205" s="2"/>
      <c r="O205" s="2"/>
      <c r="P205" s="2"/>
      <c r="Q205" s="2"/>
      <c r="R205" s="2"/>
      <c r="S205" s="2"/>
      <c r="T205" s="7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IU205" s="2"/>
      <c r="IV205" s="2"/>
      <c r="IW205" s="2"/>
      <c r="IX205" s="2"/>
      <c r="IY205" s="2"/>
      <c r="IZ205" s="2"/>
      <c r="JA205" s="2"/>
      <c r="JB205" s="2"/>
      <c r="J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I206" s="209"/>
      <c r="J206" s="210"/>
      <c r="K206" s="209"/>
      <c r="L206" s="209"/>
      <c r="N206" s="2"/>
      <c r="O206" s="2"/>
      <c r="P206" s="2"/>
      <c r="Q206" s="2"/>
      <c r="R206" s="2"/>
      <c r="S206" s="2"/>
      <c r="T206" s="100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IU206" s="2"/>
      <c r="IV206" s="2"/>
      <c r="IW206" s="2"/>
      <c r="IX206" s="2"/>
      <c r="IY206" s="2"/>
      <c r="IZ206" s="2"/>
      <c r="JA206" s="2"/>
      <c r="JB206" s="2"/>
      <c r="J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I207" s="5"/>
      <c r="J207" s="211"/>
      <c r="K207" s="5"/>
      <c r="L207" s="5"/>
      <c r="N207" s="2"/>
      <c r="O207" s="2"/>
      <c r="P207" s="2"/>
      <c r="Q207" s="2"/>
      <c r="R207" s="2"/>
      <c r="S207" s="2"/>
      <c r="T207" s="7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IU207" s="2"/>
      <c r="IV207" s="2"/>
      <c r="IW207" s="2"/>
      <c r="IX207" s="2"/>
      <c r="IY207" s="2"/>
      <c r="IZ207" s="2"/>
      <c r="JA207" s="2"/>
      <c r="JB207" s="2"/>
      <c r="J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I208" s="209"/>
      <c r="J208" s="210"/>
      <c r="K208" s="209"/>
      <c r="L208" s="209"/>
      <c r="N208" s="2"/>
      <c r="O208" s="2"/>
      <c r="P208" s="2"/>
      <c r="Q208" s="2"/>
      <c r="R208" s="2"/>
      <c r="S208" s="2"/>
      <c r="T208" s="3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IU208" s="2"/>
      <c r="IV208" s="2"/>
      <c r="IW208" s="2"/>
      <c r="IX208" s="2"/>
      <c r="IY208" s="2"/>
      <c r="IZ208" s="2"/>
      <c r="JA208" s="2"/>
      <c r="JB208" s="2"/>
      <c r="J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I209" s="5"/>
      <c r="J209" s="211"/>
      <c r="K209" s="5"/>
      <c r="L209" s="5"/>
      <c r="N209" s="2"/>
      <c r="O209" s="2"/>
      <c r="P209" s="2"/>
      <c r="Q209" s="2"/>
      <c r="R209" s="2"/>
      <c r="S209" s="2"/>
      <c r="T209" s="10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IU209" s="2"/>
      <c r="IV209" s="2"/>
      <c r="IW209" s="2"/>
      <c r="IX209" s="2"/>
      <c r="IY209" s="2"/>
      <c r="IZ209" s="2"/>
      <c r="JA209" s="2"/>
      <c r="JB209" s="2"/>
      <c r="J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I210" s="209"/>
      <c r="J210" s="210"/>
      <c r="K210" s="209"/>
      <c r="L210" s="209"/>
      <c r="N210" s="2"/>
      <c r="O210" s="2"/>
      <c r="P210" s="2"/>
      <c r="Q210" s="2"/>
      <c r="R210" s="2"/>
      <c r="S210" s="2"/>
      <c r="T210" s="10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IU210" s="2"/>
      <c r="IV210" s="2"/>
      <c r="IW210" s="2"/>
      <c r="IX210" s="2"/>
      <c r="IY210" s="2"/>
      <c r="IZ210" s="2"/>
      <c r="JA210" s="2"/>
      <c r="JB210" s="2"/>
      <c r="J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I211" s="5"/>
      <c r="J211" s="211"/>
      <c r="K211" s="5"/>
      <c r="L211" s="5"/>
      <c r="N211" s="2"/>
      <c r="O211" s="2"/>
      <c r="P211" s="2"/>
      <c r="Q211" s="2"/>
      <c r="R211" s="2"/>
      <c r="S211" s="2"/>
      <c r="T211" s="10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IU211" s="2"/>
      <c r="IV211" s="2"/>
      <c r="IW211" s="2"/>
      <c r="IX211" s="2"/>
      <c r="IY211" s="2"/>
      <c r="IZ211" s="2"/>
      <c r="JA211" s="2"/>
      <c r="JB211" s="2"/>
      <c r="J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I212" s="209"/>
      <c r="J212" s="210"/>
      <c r="K212" s="209"/>
      <c r="L212" s="209"/>
      <c r="N212" s="2"/>
      <c r="O212" s="2"/>
      <c r="P212" s="2"/>
      <c r="Q212" s="2"/>
      <c r="R212" s="2"/>
      <c r="S212" s="2"/>
      <c r="T212" s="10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IU212" s="2"/>
      <c r="IV212" s="2"/>
      <c r="IW212" s="2"/>
      <c r="IX212" s="2"/>
      <c r="IY212" s="2"/>
      <c r="IZ212" s="2"/>
      <c r="JA212" s="2"/>
      <c r="JB212" s="2"/>
      <c r="J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I213" s="5"/>
      <c r="J213" s="211"/>
      <c r="K213" s="5"/>
      <c r="L213" s="5"/>
      <c r="N213" s="2"/>
      <c r="O213" s="2"/>
      <c r="P213" s="2"/>
      <c r="Q213" s="2"/>
      <c r="R213" s="2"/>
      <c r="S213" s="2"/>
      <c r="T213" s="7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IU213" s="2"/>
      <c r="IV213" s="2"/>
      <c r="IW213" s="2"/>
      <c r="IX213" s="2"/>
      <c r="IY213" s="2"/>
      <c r="IZ213" s="2"/>
      <c r="JA213" s="2"/>
      <c r="JB213" s="2"/>
      <c r="J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I214" s="209"/>
      <c r="J214" s="210"/>
      <c r="K214" s="209"/>
      <c r="L214" s="209"/>
      <c r="N214" s="2"/>
      <c r="O214" s="2"/>
      <c r="P214" s="2"/>
      <c r="Q214" s="2"/>
      <c r="R214" s="2"/>
      <c r="S214" s="2"/>
      <c r="T214" s="100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IU214" s="2"/>
      <c r="IV214" s="2"/>
      <c r="IW214" s="2"/>
      <c r="IX214" s="2"/>
      <c r="IY214" s="2"/>
      <c r="IZ214" s="2"/>
      <c r="JA214" s="2"/>
      <c r="JB214" s="2"/>
      <c r="J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I215" s="5"/>
      <c r="J215" s="211"/>
      <c r="K215" s="5"/>
      <c r="L215" s="5"/>
      <c r="N215" s="2"/>
      <c r="O215" s="2"/>
      <c r="P215" s="2"/>
      <c r="Q215" s="2"/>
      <c r="R215" s="2"/>
      <c r="S215" s="2"/>
      <c r="T215" s="7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IU215" s="2"/>
      <c r="IV215" s="2"/>
      <c r="IW215" s="2"/>
      <c r="IX215" s="2"/>
      <c r="IY215" s="2"/>
      <c r="IZ215" s="2"/>
      <c r="JA215" s="2"/>
      <c r="JB215" s="2"/>
      <c r="J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I216" s="209"/>
      <c r="J216" s="210"/>
      <c r="K216" s="209"/>
      <c r="L216" s="209"/>
      <c r="N216" s="2"/>
      <c r="O216" s="2"/>
      <c r="P216" s="2"/>
      <c r="Q216" s="2"/>
      <c r="R216" s="2"/>
      <c r="S216" s="2"/>
      <c r="T216" s="100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IU216" s="2"/>
      <c r="IV216" s="2"/>
      <c r="IW216" s="2"/>
      <c r="IX216" s="2"/>
      <c r="IY216" s="2"/>
      <c r="IZ216" s="2"/>
      <c r="JA216" s="2"/>
      <c r="JB216" s="2"/>
      <c r="J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I217" s="5"/>
      <c r="J217" s="211"/>
      <c r="K217" s="5"/>
      <c r="L217" s="5"/>
      <c r="N217" s="2"/>
      <c r="O217" s="2"/>
      <c r="P217" s="2"/>
      <c r="Q217" s="2"/>
      <c r="R217" s="2"/>
      <c r="S217" s="2"/>
      <c r="T217" s="7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IU217" s="2"/>
      <c r="IV217" s="2"/>
      <c r="IW217" s="2"/>
      <c r="IX217" s="2"/>
      <c r="IY217" s="2"/>
      <c r="IZ217" s="2"/>
      <c r="JA217" s="2"/>
      <c r="JB217" s="2"/>
      <c r="J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I218" s="209"/>
      <c r="J218" s="210"/>
      <c r="K218" s="209"/>
      <c r="L218" s="209"/>
      <c r="N218" s="2"/>
      <c r="O218" s="2"/>
      <c r="P218" s="2"/>
      <c r="Q218" s="2"/>
      <c r="R218" s="2"/>
      <c r="S218" s="2"/>
      <c r="T218" s="100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IU218" s="2"/>
      <c r="IV218" s="2"/>
      <c r="IW218" s="2"/>
      <c r="IX218" s="2"/>
      <c r="IY218" s="2"/>
      <c r="IZ218" s="2"/>
      <c r="JA218" s="2"/>
      <c r="JB218" s="2"/>
      <c r="J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I219" s="5"/>
      <c r="J219" s="211"/>
      <c r="K219" s="5"/>
      <c r="L219" s="5"/>
      <c r="N219" s="2"/>
      <c r="O219" s="2"/>
      <c r="P219" s="2"/>
      <c r="Q219" s="2"/>
      <c r="R219" s="2"/>
      <c r="S219" s="2"/>
      <c r="T219" s="7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IU219" s="2"/>
      <c r="IV219" s="2"/>
      <c r="IW219" s="2"/>
      <c r="IX219" s="2"/>
      <c r="IY219" s="2"/>
      <c r="IZ219" s="2"/>
      <c r="JA219" s="2"/>
      <c r="JB219" s="2"/>
      <c r="J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I220" s="209"/>
      <c r="J220" s="210"/>
      <c r="K220" s="209"/>
      <c r="L220" s="209"/>
      <c r="N220" s="2"/>
      <c r="O220" s="2"/>
      <c r="P220" s="2"/>
      <c r="Q220" s="2"/>
      <c r="R220" s="2"/>
      <c r="S220" s="2"/>
      <c r="T220" s="100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IU220" s="2"/>
      <c r="IV220" s="2"/>
      <c r="IW220" s="2"/>
      <c r="IX220" s="2"/>
      <c r="IY220" s="2"/>
      <c r="IZ220" s="2"/>
      <c r="JA220" s="2"/>
      <c r="JB220" s="2"/>
      <c r="J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I221" s="5"/>
      <c r="J221" s="211"/>
      <c r="K221" s="5"/>
      <c r="L221" s="5"/>
      <c r="N221" s="2"/>
      <c r="O221" s="2"/>
      <c r="P221" s="2"/>
      <c r="Q221" s="2"/>
      <c r="R221" s="2"/>
      <c r="S221" s="2"/>
      <c r="T221" s="7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IU221" s="2"/>
      <c r="IV221" s="2"/>
      <c r="IW221" s="2"/>
      <c r="IX221" s="2"/>
      <c r="IY221" s="2"/>
      <c r="IZ221" s="2"/>
      <c r="JA221" s="2"/>
      <c r="JB221" s="2"/>
      <c r="J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I222" s="209"/>
      <c r="J222" s="210"/>
      <c r="K222" s="209"/>
      <c r="L222" s="209"/>
      <c r="N222" s="2"/>
      <c r="O222" s="2"/>
      <c r="P222" s="2"/>
      <c r="Q222" s="2"/>
      <c r="R222" s="2"/>
      <c r="S222" s="2"/>
      <c r="T222" s="100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IU222" s="2"/>
      <c r="IV222" s="2"/>
      <c r="IW222" s="2"/>
      <c r="IX222" s="2"/>
      <c r="IY222" s="2"/>
      <c r="IZ222" s="2"/>
      <c r="JA222" s="2"/>
      <c r="JB222" s="2"/>
      <c r="J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I223" s="5"/>
      <c r="J223" s="211"/>
      <c r="K223" s="5"/>
      <c r="L223" s="5"/>
      <c r="N223" s="2"/>
      <c r="O223" s="2"/>
      <c r="P223" s="2"/>
      <c r="Q223" s="2"/>
      <c r="R223" s="2"/>
      <c r="S223" s="2"/>
      <c r="T223" s="7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IU223" s="2"/>
      <c r="IV223" s="2"/>
      <c r="IW223" s="2"/>
      <c r="IX223" s="2"/>
      <c r="IY223" s="2"/>
      <c r="IZ223" s="2"/>
      <c r="JA223" s="2"/>
      <c r="JB223" s="2"/>
      <c r="J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I224" s="209"/>
      <c r="J224" s="210"/>
      <c r="K224" s="209"/>
      <c r="L224" s="209"/>
      <c r="N224" s="2"/>
      <c r="O224" s="2"/>
      <c r="P224" s="2"/>
      <c r="Q224" s="2"/>
      <c r="R224" s="2"/>
      <c r="S224" s="2"/>
      <c r="T224" s="3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IU224" s="2"/>
      <c r="IV224" s="2"/>
      <c r="IW224" s="2"/>
      <c r="IX224" s="2"/>
      <c r="IY224" s="2"/>
      <c r="IZ224" s="2"/>
      <c r="JA224" s="2"/>
      <c r="JB224" s="2"/>
      <c r="J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I225" s="5"/>
      <c r="J225" s="211"/>
      <c r="K225" s="5"/>
      <c r="L225" s="5"/>
      <c r="N225" s="2"/>
      <c r="O225" s="2"/>
      <c r="P225" s="2"/>
      <c r="Q225" s="2"/>
      <c r="R225" s="2"/>
      <c r="S225" s="2"/>
      <c r="T225" s="10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IU225" s="2"/>
      <c r="IV225" s="2"/>
      <c r="IW225" s="2"/>
      <c r="IX225" s="2"/>
      <c r="IY225" s="2"/>
      <c r="IZ225" s="2"/>
      <c r="JA225" s="2"/>
      <c r="JB225" s="2"/>
      <c r="J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I226" s="209"/>
      <c r="J226" s="210"/>
      <c r="K226" s="209"/>
      <c r="L226" s="209"/>
      <c r="N226" s="2"/>
      <c r="O226" s="2"/>
      <c r="P226" s="2"/>
      <c r="Q226" s="2"/>
      <c r="R226" s="2"/>
      <c r="S226" s="2"/>
      <c r="T226" s="10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IU226" s="2"/>
      <c r="IV226" s="2"/>
      <c r="IW226" s="2"/>
      <c r="IX226" s="2"/>
      <c r="IY226" s="2"/>
      <c r="IZ226" s="2"/>
      <c r="JA226" s="2"/>
      <c r="JB226" s="2"/>
      <c r="J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I227" s="5"/>
      <c r="J227" s="211"/>
      <c r="K227" s="5"/>
      <c r="L227" s="5"/>
      <c r="N227" s="2"/>
      <c r="O227" s="2"/>
      <c r="P227" s="2"/>
      <c r="Q227" s="2"/>
      <c r="R227" s="2"/>
      <c r="S227" s="2"/>
      <c r="T227" s="10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IU227" s="2"/>
      <c r="IV227" s="2"/>
      <c r="IW227" s="2"/>
      <c r="IX227" s="2"/>
      <c r="IY227" s="2"/>
      <c r="IZ227" s="2"/>
      <c r="JA227" s="2"/>
      <c r="JB227" s="2"/>
      <c r="J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I228" s="209"/>
      <c r="J228" s="210"/>
      <c r="K228" s="209"/>
      <c r="L228" s="209"/>
      <c r="N228" s="2"/>
      <c r="O228" s="2"/>
      <c r="P228" s="2"/>
      <c r="Q228" s="2"/>
      <c r="R228" s="2"/>
      <c r="S228" s="2"/>
      <c r="T228" s="10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IU228" s="2"/>
      <c r="IV228" s="2"/>
      <c r="IW228" s="2"/>
      <c r="IX228" s="2"/>
      <c r="IY228" s="2"/>
      <c r="IZ228" s="2"/>
      <c r="JA228" s="2"/>
      <c r="JB228" s="2"/>
      <c r="J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I229" s="5"/>
      <c r="J229" s="211"/>
      <c r="K229" s="5"/>
      <c r="L229" s="5"/>
      <c r="N229" s="2"/>
      <c r="O229" s="2"/>
      <c r="P229" s="2"/>
      <c r="Q229" s="2"/>
      <c r="R229" s="2"/>
      <c r="S229" s="2"/>
      <c r="T229" s="7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IU229" s="2"/>
      <c r="IV229" s="2"/>
      <c r="IW229" s="2"/>
      <c r="IX229" s="2"/>
      <c r="IY229" s="2"/>
      <c r="IZ229" s="2"/>
      <c r="JA229" s="2"/>
      <c r="JB229" s="2"/>
      <c r="J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I230" s="209"/>
      <c r="J230" s="210"/>
      <c r="K230" s="209"/>
      <c r="L230" s="209"/>
      <c r="N230" s="2"/>
      <c r="O230" s="2"/>
      <c r="P230" s="2"/>
      <c r="Q230" s="2"/>
      <c r="R230" s="2"/>
      <c r="S230" s="2"/>
      <c r="T230" s="100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IU230" s="2"/>
      <c r="IV230" s="2"/>
      <c r="IW230" s="2"/>
      <c r="IX230" s="2"/>
      <c r="IY230" s="2"/>
      <c r="IZ230" s="2"/>
      <c r="JA230" s="2"/>
      <c r="JB230" s="2"/>
      <c r="J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I231" s="5"/>
      <c r="J231" s="211"/>
      <c r="K231" s="5"/>
      <c r="L231" s="5"/>
      <c r="N231" s="2"/>
      <c r="O231" s="2"/>
      <c r="P231" s="2"/>
      <c r="Q231" s="2"/>
      <c r="R231" s="2"/>
      <c r="S231" s="2"/>
      <c r="T231" s="7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IU231" s="2"/>
      <c r="IV231" s="2"/>
      <c r="IW231" s="2"/>
      <c r="IX231" s="2"/>
      <c r="IY231" s="2"/>
      <c r="IZ231" s="2"/>
      <c r="JA231" s="2"/>
      <c r="JB231" s="2"/>
      <c r="J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I232" s="209"/>
      <c r="J232" s="210"/>
      <c r="K232" s="209"/>
      <c r="L232" s="209"/>
      <c r="N232" s="2"/>
      <c r="O232" s="2"/>
      <c r="P232" s="2"/>
      <c r="Q232" s="2"/>
      <c r="R232" s="2"/>
      <c r="S232" s="2"/>
      <c r="T232" s="100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IU232" s="2"/>
      <c r="IV232" s="2"/>
      <c r="IW232" s="2"/>
      <c r="IX232" s="2"/>
      <c r="IY232" s="2"/>
      <c r="IZ232" s="2"/>
      <c r="JA232" s="2"/>
      <c r="JB232" s="2"/>
      <c r="J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I233" s="5"/>
      <c r="J233" s="211"/>
      <c r="K233" s="5"/>
      <c r="L233" s="5"/>
      <c r="N233" s="2"/>
      <c r="O233" s="2"/>
      <c r="P233" s="2"/>
      <c r="Q233" s="2"/>
      <c r="R233" s="2"/>
      <c r="S233" s="2"/>
      <c r="T233" s="7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IU233" s="2"/>
      <c r="IV233" s="2"/>
      <c r="IW233" s="2"/>
      <c r="IX233" s="2"/>
      <c r="IY233" s="2"/>
      <c r="IZ233" s="2"/>
      <c r="JA233" s="2"/>
      <c r="JB233" s="2"/>
      <c r="J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I234" s="209"/>
      <c r="J234" s="210"/>
      <c r="K234" s="209"/>
      <c r="L234" s="209"/>
      <c r="N234" s="2"/>
      <c r="O234" s="2"/>
      <c r="P234" s="2"/>
      <c r="Q234" s="2"/>
      <c r="R234" s="2"/>
      <c r="S234" s="2"/>
      <c r="T234" s="100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IU234" s="2"/>
      <c r="IV234" s="2"/>
      <c r="IW234" s="2"/>
      <c r="IX234" s="2"/>
      <c r="IY234" s="2"/>
      <c r="IZ234" s="2"/>
      <c r="JA234" s="2"/>
      <c r="JB234" s="2"/>
      <c r="J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I235" s="5"/>
      <c r="J235" s="211"/>
      <c r="K235" s="5"/>
      <c r="L235" s="5"/>
      <c r="N235" s="2"/>
      <c r="O235" s="2"/>
      <c r="P235" s="2"/>
      <c r="Q235" s="2"/>
      <c r="R235" s="2"/>
      <c r="S235" s="2"/>
      <c r="T235" s="7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IU235" s="2"/>
      <c r="IV235" s="2"/>
      <c r="IW235" s="2"/>
      <c r="IX235" s="2"/>
      <c r="IY235" s="2"/>
      <c r="IZ235" s="2"/>
      <c r="JA235" s="2"/>
      <c r="JB235" s="2"/>
      <c r="J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I236" s="209"/>
      <c r="J236" s="210"/>
      <c r="K236" s="209"/>
      <c r="L236" s="209"/>
      <c r="N236" s="2"/>
      <c r="O236" s="2"/>
      <c r="P236" s="2"/>
      <c r="Q236" s="2"/>
      <c r="R236" s="2"/>
      <c r="S236" s="2"/>
      <c r="T236" s="100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IU236" s="2"/>
      <c r="IV236" s="2"/>
      <c r="IW236" s="2"/>
      <c r="IX236" s="2"/>
      <c r="IY236" s="2"/>
      <c r="IZ236" s="2"/>
      <c r="JA236" s="2"/>
      <c r="JB236" s="2"/>
      <c r="J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I237" s="5"/>
      <c r="J237" s="211"/>
      <c r="K237" s="5"/>
      <c r="L237" s="5"/>
      <c r="N237" s="2"/>
      <c r="O237" s="2"/>
      <c r="P237" s="2"/>
      <c r="Q237" s="2"/>
      <c r="R237" s="2"/>
      <c r="S237" s="2"/>
      <c r="T237" s="7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IU237" s="2"/>
      <c r="IV237" s="2"/>
      <c r="IW237" s="2"/>
      <c r="IX237" s="2"/>
      <c r="IY237" s="2"/>
      <c r="IZ237" s="2"/>
      <c r="JA237" s="2"/>
      <c r="JB237" s="2"/>
      <c r="J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I238" s="209"/>
      <c r="J238" s="210"/>
      <c r="K238" s="209"/>
      <c r="L238" s="209"/>
      <c r="N238" s="2"/>
      <c r="O238" s="2"/>
      <c r="P238" s="2"/>
      <c r="Q238" s="2"/>
      <c r="R238" s="2"/>
      <c r="S238" s="2"/>
      <c r="T238" s="100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IU238" s="2"/>
      <c r="IV238" s="2"/>
      <c r="IW238" s="2"/>
      <c r="IX238" s="2"/>
      <c r="IY238" s="2"/>
      <c r="IZ238" s="2"/>
      <c r="JA238" s="2"/>
      <c r="JB238" s="2"/>
      <c r="J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I239" s="5"/>
      <c r="J239" s="211"/>
      <c r="K239" s="5"/>
      <c r="L239" s="5"/>
      <c r="N239" s="2"/>
      <c r="O239" s="2"/>
      <c r="P239" s="2"/>
      <c r="Q239" s="2"/>
      <c r="R239" s="2"/>
      <c r="S239" s="2"/>
      <c r="T239" s="7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IU239" s="2"/>
      <c r="IV239" s="2"/>
      <c r="IW239" s="2"/>
      <c r="IX239" s="2"/>
      <c r="IY239" s="2"/>
      <c r="IZ239" s="2"/>
      <c r="JA239" s="2"/>
      <c r="JB239" s="2"/>
      <c r="J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I240" s="209"/>
      <c r="J240" s="210"/>
      <c r="K240" s="209"/>
      <c r="L240" s="209"/>
      <c r="N240" s="2"/>
      <c r="O240" s="2"/>
      <c r="P240" s="2"/>
      <c r="Q240" s="2"/>
      <c r="R240" s="2"/>
      <c r="S240" s="2"/>
      <c r="T240" s="3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IU240" s="2"/>
      <c r="IV240" s="2"/>
      <c r="IW240" s="2"/>
      <c r="IX240" s="2"/>
      <c r="IY240" s="2"/>
      <c r="IZ240" s="2"/>
      <c r="JA240" s="2"/>
      <c r="JB240" s="2"/>
      <c r="J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I241" s="5"/>
      <c r="J241" s="211"/>
      <c r="K241" s="5"/>
      <c r="L241" s="5"/>
      <c r="N241" s="2"/>
      <c r="O241" s="2"/>
      <c r="P241" s="2"/>
      <c r="Q241" s="2"/>
      <c r="R241" s="2"/>
      <c r="S241" s="2"/>
      <c r="T241" s="10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IU241" s="2"/>
      <c r="IV241" s="2"/>
      <c r="IW241" s="2"/>
      <c r="IX241" s="2"/>
      <c r="IY241" s="2"/>
      <c r="IZ241" s="2"/>
      <c r="JA241" s="2"/>
      <c r="JB241" s="2"/>
      <c r="J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I242" s="209"/>
      <c r="J242" s="210"/>
      <c r="K242" s="209"/>
      <c r="L242" s="209"/>
      <c r="N242" s="2"/>
      <c r="O242" s="2"/>
      <c r="P242" s="2"/>
      <c r="Q242" s="2"/>
      <c r="R242" s="2"/>
      <c r="S242" s="2"/>
      <c r="T242" s="10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IU242" s="2"/>
      <c r="IV242" s="2"/>
      <c r="IW242" s="2"/>
      <c r="IX242" s="2"/>
      <c r="IY242" s="2"/>
      <c r="IZ242" s="2"/>
      <c r="JA242" s="2"/>
      <c r="JB242" s="2"/>
      <c r="J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I243" s="5"/>
      <c r="J243" s="211"/>
      <c r="K243" s="5"/>
      <c r="L243" s="5"/>
      <c r="N243" s="2"/>
      <c r="O243" s="2"/>
      <c r="P243" s="2"/>
      <c r="Q243" s="2"/>
      <c r="R243" s="2"/>
      <c r="S243" s="2"/>
      <c r="T243" s="10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IU243" s="2"/>
      <c r="IV243" s="2"/>
      <c r="IW243" s="2"/>
      <c r="IX243" s="2"/>
      <c r="IY243" s="2"/>
      <c r="IZ243" s="2"/>
      <c r="JA243" s="2"/>
      <c r="JB243" s="2"/>
      <c r="J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I244" s="209"/>
      <c r="J244" s="210"/>
      <c r="K244" s="209"/>
      <c r="L244" s="209"/>
      <c r="N244" s="2"/>
      <c r="O244" s="2"/>
      <c r="P244" s="2"/>
      <c r="Q244" s="2"/>
      <c r="R244" s="2"/>
      <c r="S244" s="2"/>
      <c r="T244" s="10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IU244" s="2"/>
      <c r="IV244" s="2"/>
      <c r="IW244" s="2"/>
      <c r="IX244" s="2"/>
      <c r="IY244" s="2"/>
      <c r="IZ244" s="2"/>
      <c r="JA244" s="2"/>
      <c r="JB244" s="2"/>
      <c r="J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I245" s="5"/>
      <c r="J245" s="211"/>
      <c r="K245" s="5"/>
      <c r="L245" s="5"/>
      <c r="N245" s="2"/>
      <c r="O245" s="2"/>
      <c r="P245" s="2"/>
      <c r="Q245" s="2"/>
      <c r="R245" s="2"/>
      <c r="S245" s="2"/>
      <c r="T245" s="7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IU245" s="2"/>
      <c r="IV245" s="2"/>
      <c r="IW245" s="2"/>
      <c r="IX245" s="2"/>
      <c r="IY245" s="2"/>
      <c r="IZ245" s="2"/>
      <c r="JA245" s="2"/>
      <c r="JB245" s="2"/>
      <c r="J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I246" s="209"/>
      <c r="J246" s="210"/>
      <c r="K246" s="209"/>
      <c r="L246" s="209"/>
      <c r="N246" s="2"/>
      <c r="O246" s="2"/>
      <c r="P246" s="2"/>
      <c r="Q246" s="2"/>
      <c r="R246" s="2"/>
      <c r="S246" s="2"/>
      <c r="T246" s="100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IU246" s="2"/>
      <c r="IV246" s="2"/>
      <c r="IW246" s="2"/>
      <c r="IX246" s="2"/>
      <c r="IY246" s="2"/>
      <c r="IZ246" s="2"/>
      <c r="JA246" s="2"/>
      <c r="JB246" s="2"/>
      <c r="J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I247" s="5"/>
      <c r="J247" s="211"/>
      <c r="K247" s="5"/>
      <c r="L247" s="5"/>
      <c r="N247" s="2"/>
      <c r="O247" s="2"/>
      <c r="P247" s="2"/>
      <c r="Q247" s="2"/>
      <c r="R247" s="2"/>
      <c r="S247" s="2"/>
      <c r="T247" s="7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IU247" s="2"/>
      <c r="IV247" s="2"/>
      <c r="IW247" s="2"/>
      <c r="IX247" s="2"/>
      <c r="IY247" s="2"/>
      <c r="IZ247" s="2"/>
      <c r="JA247" s="2"/>
      <c r="JB247" s="2"/>
      <c r="J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I248" s="209"/>
      <c r="J248" s="210"/>
      <c r="K248" s="209"/>
      <c r="L248" s="209"/>
      <c r="N248" s="2"/>
      <c r="O248" s="2"/>
      <c r="P248" s="2"/>
      <c r="Q248" s="2"/>
      <c r="R248" s="2"/>
      <c r="S248" s="2"/>
      <c r="T248" s="100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IU248" s="2"/>
      <c r="IV248" s="2"/>
      <c r="IW248" s="2"/>
      <c r="IX248" s="2"/>
      <c r="IY248" s="2"/>
      <c r="IZ248" s="2"/>
      <c r="JA248" s="2"/>
      <c r="JB248" s="2"/>
      <c r="J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I249" s="5"/>
      <c r="J249" s="211"/>
      <c r="K249" s="5"/>
      <c r="L249" s="5"/>
      <c r="N249" s="2"/>
      <c r="O249" s="2"/>
      <c r="P249" s="2"/>
      <c r="Q249" s="2"/>
      <c r="R249" s="2"/>
      <c r="S249" s="2"/>
      <c r="T249" s="7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IU249" s="2"/>
      <c r="IV249" s="2"/>
      <c r="IW249" s="2"/>
      <c r="IX249" s="2"/>
      <c r="IY249" s="2"/>
      <c r="IZ249" s="2"/>
      <c r="JA249" s="2"/>
      <c r="JB249" s="2"/>
      <c r="J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I250" s="209"/>
      <c r="J250" s="210"/>
      <c r="K250" s="209"/>
      <c r="L250" s="209"/>
      <c r="N250" s="2"/>
      <c r="O250" s="2"/>
      <c r="P250" s="2"/>
      <c r="Q250" s="2"/>
      <c r="R250" s="2"/>
      <c r="S250" s="2"/>
      <c r="T250" s="100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IU250" s="2"/>
      <c r="IV250" s="2"/>
      <c r="IW250" s="2"/>
      <c r="IX250" s="2"/>
      <c r="IY250" s="2"/>
      <c r="IZ250" s="2"/>
      <c r="JA250" s="2"/>
      <c r="JB250" s="2"/>
      <c r="J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I251" s="5"/>
      <c r="J251" s="211"/>
      <c r="K251" s="5"/>
      <c r="L251" s="5"/>
      <c r="N251" s="2"/>
      <c r="O251" s="2"/>
      <c r="P251" s="2"/>
      <c r="Q251" s="2"/>
      <c r="R251" s="2"/>
      <c r="S251" s="2"/>
      <c r="T251" s="7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IU251" s="2"/>
      <c r="IV251" s="2"/>
      <c r="IW251" s="2"/>
      <c r="IX251" s="2"/>
      <c r="IY251" s="2"/>
      <c r="IZ251" s="2"/>
      <c r="JA251" s="2"/>
      <c r="JB251" s="2"/>
      <c r="J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I252" s="209"/>
      <c r="J252" s="210"/>
      <c r="K252" s="209"/>
      <c r="L252" s="209"/>
      <c r="N252" s="2"/>
      <c r="O252" s="2"/>
      <c r="P252" s="2"/>
      <c r="Q252" s="2"/>
      <c r="R252" s="2"/>
      <c r="S252" s="2"/>
      <c r="T252" s="100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IU252" s="2"/>
      <c r="IV252" s="2"/>
      <c r="IW252" s="2"/>
      <c r="IX252" s="2"/>
      <c r="IY252" s="2"/>
      <c r="IZ252" s="2"/>
      <c r="JA252" s="2"/>
      <c r="JB252" s="2"/>
      <c r="J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I253" s="5"/>
      <c r="J253" s="211"/>
      <c r="K253" s="5"/>
      <c r="L253" s="5"/>
      <c r="N253" s="2"/>
      <c r="O253" s="2"/>
      <c r="P253" s="2"/>
      <c r="Q253" s="2"/>
      <c r="R253" s="2"/>
      <c r="S253" s="2"/>
      <c r="T253" s="7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IU253" s="2"/>
      <c r="IV253" s="2"/>
      <c r="IW253" s="2"/>
      <c r="IX253" s="2"/>
      <c r="IY253" s="2"/>
      <c r="IZ253" s="2"/>
      <c r="JA253" s="2"/>
      <c r="JB253" s="2"/>
      <c r="J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I254" s="209"/>
      <c r="J254" s="210"/>
      <c r="K254" s="209"/>
      <c r="L254" s="209"/>
      <c r="N254" s="2"/>
      <c r="O254" s="2"/>
      <c r="P254" s="2"/>
      <c r="Q254" s="2"/>
      <c r="R254" s="2"/>
      <c r="S254" s="2"/>
      <c r="T254" s="100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IU254" s="2"/>
      <c r="IV254" s="2"/>
      <c r="IW254" s="2"/>
      <c r="IX254" s="2"/>
      <c r="IY254" s="2"/>
      <c r="IZ254" s="2"/>
      <c r="JA254" s="2"/>
      <c r="JB254" s="2"/>
      <c r="J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I255" s="5"/>
      <c r="J255" s="211"/>
      <c r="K255" s="5"/>
      <c r="L255" s="5"/>
      <c r="N255" s="2"/>
      <c r="O255" s="2"/>
      <c r="P255" s="2"/>
      <c r="Q255" s="2"/>
      <c r="R255" s="2"/>
      <c r="S255" s="2"/>
      <c r="T255" s="7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IU255" s="2"/>
      <c r="IV255" s="2"/>
      <c r="IW255" s="2"/>
      <c r="IX255" s="2"/>
      <c r="IY255" s="2"/>
      <c r="IZ255" s="2"/>
      <c r="JA255" s="2"/>
      <c r="JB255" s="2"/>
      <c r="J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I256" s="209"/>
      <c r="J256" s="210"/>
      <c r="K256" s="209"/>
      <c r="L256" s="209"/>
      <c r="N256" s="2"/>
      <c r="O256" s="2"/>
      <c r="P256" s="2"/>
      <c r="Q256" s="2"/>
      <c r="R256" s="2"/>
      <c r="S256" s="2"/>
      <c r="T256" s="3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IU256" s="2"/>
      <c r="IV256" s="2"/>
      <c r="IW256" s="2"/>
      <c r="IX256" s="2"/>
      <c r="IY256" s="2"/>
      <c r="IZ256" s="2"/>
      <c r="JA256" s="2"/>
      <c r="JB256" s="2"/>
      <c r="J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I257" s="5"/>
      <c r="J257" s="211"/>
      <c r="K257" s="5"/>
      <c r="L257" s="5"/>
      <c r="N257" s="2"/>
      <c r="O257" s="2"/>
      <c r="P257" s="2"/>
      <c r="Q257" s="2"/>
      <c r="R257" s="2"/>
      <c r="S257" s="2"/>
      <c r="T257" s="10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IU257" s="2"/>
      <c r="IV257" s="2"/>
      <c r="IW257" s="2"/>
      <c r="IX257" s="2"/>
      <c r="IY257" s="2"/>
      <c r="IZ257" s="2"/>
      <c r="JA257" s="2"/>
      <c r="JB257" s="2"/>
      <c r="J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I258" s="209"/>
      <c r="J258" s="210"/>
      <c r="K258" s="209"/>
      <c r="L258" s="209"/>
      <c r="N258" s="2"/>
      <c r="O258" s="2"/>
      <c r="P258" s="2"/>
      <c r="Q258" s="2"/>
      <c r="R258" s="2"/>
      <c r="S258" s="2"/>
      <c r="T258" s="10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IU258" s="2"/>
      <c r="IV258" s="2"/>
      <c r="IW258" s="2"/>
      <c r="IX258" s="2"/>
      <c r="IY258" s="2"/>
      <c r="IZ258" s="2"/>
      <c r="JA258" s="2"/>
      <c r="JB258" s="2"/>
      <c r="J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I259" s="5"/>
      <c r="J259" s="211"/>
      <c r="K259" s="5"/>
      <c r="L259" s="5"/>
      <c r="N259" s="2"/>
      <c r="O259" s="2"/>
      <c r="P259" s="2"/>
      <c r="Q259" s="2"/>
      <c r="R259" s="2"/>
      <c r="S259" s="2"/>
      <c r="T259" s="10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IU259" s="2"/>
      <c r="IV259" s="2"/>
      <c r="IW259" s="2"/>
      <c r="IX259" s="2"/>
      <c r="IY259" s="2"/>
      <c r="IZ259" s="2"/>
      <c r="JA259" s="2"/>
      <c r="JB259" s="2"/>
      <c r="J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I260" s="209"/>
      <c r="J260" s="210"/>
      <c r="K260" s="209"/>
      <c r="L260" s="209"/>
      <c r="N260" s="2"/>
      <c r="O260" s="2"/>
      <c r="P260" s="2"/>
      <c r="Q260" s="2"/>
      <c r="R260" s="2"/>
      <c r="S260" s="2"/>
      <c r="T260" s="10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IU260" s="2"/>
      <c r="IV260" s="2"/>
      <c r="IW260" s="2"/>
      <c r="IX260" s="2"/>
      <c r="IY260" s="2"/>
      <c r="IZ260" s="2"/>
      <c r="JA260" s="2"/>
      <c r="JB260" s="2"/>
      <c r="J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I261" s="5"/>
      <c r="J261" s="211"/>
      <c r="K261" s="5"/>
      <c r="L261" s="5"/>
      <c r="N261" s="2"/>
      <c r="O261" s="2"/>
      <c r="P261" s="2"/>
      <c r="Q261" s="2"/>
      <c r="R261" s="2"/>
      <c r="S261" s="2"/>
      <c r="T261" s="7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IU261" s="2"/>
      <c r="IV261" s="2"/>
      <c r="IW261" s="2"/>
      <c r="IX261" s="2"/>
      <c r="IY261" s="2"/>
      <c r="IZ261" s="2"/>
      <c r="JA261" s="2"/>
      <c r="JB261" s="2"/>
      <c r="J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I262" s="209"/>
      <c r="J262" s="210"/>
      <c r="K262" s="209"/>
      <c r="L262" s="209"/>
      <c r="N262" s="2"/>
      <c r="O262" s="2"/>
      <c r="P262" s="2"/>
      <c r="Q262" s="2"/>
      <c r="R262" s="2"/>
      <c r="S262" s="2"/>
      <c r="T262" s="100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IU262" s="2"/>
      <c r="IV262" s="2"/>
      <c r="IW262" s="2"/>
      <c r="IX262" s="2"/>
      <c r="IY262" s="2"/>
      <c r="IZ262" s="2"/>
      <c r="JA262" s="2"/>
      <c r="JB262" s="2"/>
      <c r="J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I263" s="5"/>
      <c r="J263" s="211"/>
      <c r="K263" s="5"/>
      <c r="L263" s="5"/>
      <c r="N263" s="2"/>
      <c r="O263" s="2"/>
      <c r="P263" s="2"/>
      <c r="Q263" s="2"/>
      <c r="R263" s="2"/>
      <c r="S263" s="2"/>
      <c r="T263" s="7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IU263" s="2"/>
      <c r="IV263" s="2"/>
      <c r="IW263" s="2"/>
      <c r="IX263" s="2"/>
      <c r="IY263" s="2"/>
      <c r="IZ263" s="2"/>
      <c r="JA263" s="2"/>
      <c r="JB263" s="2"/>
      <c r="J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I264" s="209"/>
      <c r="J264" s="210"/>
      <c r="K264" s="209"/>
      <c r="L264" s="209"/>
      <c r="N264" s="2"/>
      <c r="O264" s="2"/>
      <c r="P264" s="2"/>
      <c r="Q264" s="2"/>
      <c r="R264" s="2"/>
      <c r="S264" s="2"/>
      <c r="T264" s="100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IU264" s="2"/>
      <c r="IV264" s="2"/>
      <c r="IW264" s="2"/>
      <c r="IX264" s="2"/>
      <c r="IY264" s="2"/>
      <c r="IZ264" s="2"/>
      <c r="JA264" s="2"/>
      <c r="JB264" s="2"/>
      <c r="J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I265" s="5"/>
      <c r="J265" s="211"/>
      <c r="K265" s="5"/>
      <c r="L265" s="5"/>
      <c r="N265" s="2"/>
      <c r="O265" s="2"/>
      <c r="P265" s="2"/>
      <c r="Q265" s="2"/>
      <c r="R265" s="2"/>
      <c r="S265" s="2"/>
      <c r="T265" s="7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IU265" s="2"/>
      <c r="IV265" s="2"/>
      <c r="IW265" s="2"/>
      <c r="IX265" s="2"/>
      <c r="IY265" s="2"/>
      <c r="IZ265" s="2"/>
      <c r="JA265" s="2"/>
      <c r="JB265" s="2"/>
      <c r="J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I266" s="209"/>
      <c r="J266" s="210"/>
      <c r="K266" s="209"/>
      <c r="L266" s="209"/>
      <c r="N266" s="2"/>
      <c r="O266" s="2"/>
      <c r="P266" s="2"/>
      <c r="Q266" s="2"/>
      <c r="R266" s="2"/>
      <c r="S266" s="2"/>
      <c r="T266" s="100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IU266" s="2"/>
      <c r="IV266" s="2"/>
      <c r="IW266" s="2"/>
      <c r="IX266" s="2"/>
      <c r="IY266" s="2"/>
      <c r="IZ266" s="2"/>
      <c r="JA266" s="2"/>
      <c r="JB266" s="2"/>
      <c r="J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I267" s="5"/>
      <c r="J267" s="211"/>
      <c r="K267" s="5"/>
      <c r="L267" s="5"/>
      <c r="N267" s="2"/>
      <c r="O267" s="2"/>
      <c r="P267" s="2"/>
      <c r="Q267" s="2"/>
      <c r="R267" s="2"/>
      <c r="S267" s="2"/>
      <c r="T267" s="7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IU267" s="2"/>
      <c r="IV267" s="2"/>
      <c r="IW267" s="2"/>
      <c r="IX267" s="2"/>
      <c r="IY267" s="2"/>
      <c r="IZ267" s="2"/>
      <c r="JA267" s="2"/>
      <c r="JB267" s="2"/>
      <c r="J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I268" s="209"/>
      <c r="J268" s="210"/>
      <c r="K268" s="209"/>
      <c r="L268" s="209"/>
      <c r="N268" s="2"/>
      <c r="O268" s="2"/>
      <c r="P268" s="2"/>
      <c r="Q268" s="2"/>
      <c r="R268" s="2"/>
      <c r="S268" s="2"/>
      <c r="T268" s="100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IU268" s="2"/>
      <c r="IV268" s="2"/>
      <c r="IW268" s="2"/>
      <c r="IX268" s="2"/>
      <c r="IY268" s="2"/>
      <c r="IZ268" s="2"/>
      <c r="JA268" s="2"/>
      <c r="JB268" s="2"/>
      <c r="J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I269" s="5"/>
      <c r="J269" s="211"/>
      <c r="K269" s="5"/>
      <c r="L269" s="5"/>
      <c r="N269" s="2"/>
      <c r="O269" s="2"/>
      <c r="P269" s="2"/>
      <c r="Q269" s="2"/>
      <c r="R269" s="2"/>
      <c r="S269" s="2"/>
      <c r="T269" s="7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IU269" s="2"/>
      <c r="IV269" s="2"/>
      <c r="IW269" s="2"/>
      <c r="IX269" s="2"/>
      <c r="IY269" s="2"/>
      <c r="IZ269" s="2"/>
      <c r="JA269" s="2"/>
      <c r="JB269" s="2"/>
      <c r="J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I270" s="209"/>
      <c r="J270" s="210"/>
      <c r="K270" s="209"/>
      <c r="L270" s="209"/>
      <c r="N270" s="2"/>
      <c r="O270" s="2"/>
      <c r="P270" s="2"/>
      <c r="Q270" s="2"/>
      <c r="R270" s="2"/>
      <c r="S270" s="2"/>
      <c r="T270" s="100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IU270" s="2"/>
      <c r="IV270" s="2"/>
      <c r="IW270" s="2"/>
      <c r="IX270" s="2"/>
      <c r="IY270" s="2"/>
      <c r="IZ270" s="2"/>
      <c r="JA270" s="2"/>
      <c r="JB270" s="2"/>
      <c r="J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I271" s="5"/>
      <c r="J271" s="211"/>
      <c r="K271" s="5"/>
      <c r="L271" s="5"/>
      <c r="N271" s="2"/>
      <c r="O271" s="2"/>
      <c r="P271" s="2"/>
      <c r="Q271" s="2"/>
      <c r="R271" s="2"/>
      <c r="S271" s="2"/>
      <c r="T271" s="7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IU271" s="2"/>
      <c r="IV271" s="2"/>
      <c r="IW271" s="2"/>
      <c r="IX271" s="2"/>
      <c r="IY271" s="2"/>
      <c r="IZ271" s="2"/>
      <c r="JA271" s="2"/>
      <c r="JB271" s="2"/>
      <c r="J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I272" s="209"/>
      <c r="J272" s="210"/>
      <c r="K272" s="209"/>
      <c r="L272" s="209"/>
      <c r="N272" s="2"/>
      <c r="O272" s="2"/>
      <c r="P272" s="2"/>
      <c r="Q272" s="2"/>
      <c r="R272" s="2"/>
      <c r="S272" s="2"/>
      <c r="T272" s="3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IU272" s="2"/>
      <c r="IV272" s="2"/>
      <c r="IW272" s="2"/>
      <c r="IX272" s="2"/>
      <c r="IY272" s="2"/>
      <c r="IZ272" s="2"/>
      <c r="JA272" s="2"/>
      <c r="JB272" s="2"/>
      <c r="J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I273" s="5"/>
      <c r="J273" s="211"/>
      <c r="K273" s="5"/>
      <c r="L273" s="5"/>
      <c r="N273" s="2"/>
      <c r="O273" s="2"/>
      <c r="P273" s="2"/>
      <c r="Q273" s="2"/>
      <c r="R273" s="2"/>
      <c r="S273" s="2"/>
      <c r="T273" s="10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IU273" s="2"/>
      <c r="IV273" s="2"/>
      <c r="IW273" s="2"/>
      <c r="IX273" s="2"/>
      <c r="IY273" s="2"/>
      <c r="IZ273" s="2"/>
      <c r="JA273" s="2"/>
      <c r="JB273" s="2"/>
      <c r="J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I274" s="209"/>
      <c r="J274" s="210"/>
      <c r="K274" s="209"/>
      <c r="L274" s="209"/>
      <c r="N274" s="2"/>
      <c r="O274" s="2"/>
      <c r="P274" s="2"/>
      <c r="Q274" s="2"/>
      <c r="R274" s="2"/>
      <c r="S274" s="2"/>
      <c r="T274" s="10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IU274" s="2"/>
      <c r="IV274" s="2"/>
      <c r="IW274" s="2"/>
      <c r="IX274" s="2"/>
      <c r="IY274" s="2"/>
      <c r="IZ274" s="2"/>
      <c r="JA274" s="2"/>
      <c r="JB274" s="2"/>
      <c r="J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I275" s="5"/>
      <c r="J275" s="211"/>
      <c r="K275" s="5"/>
      <c r="L275" s="5"/>
      <c r="N275" s="2"/>
      <c r="O275" s="2"/>
      <c r="P275" s="2"/>
      <c r="Q275" s="2"/>
      <c r="R275" s="2"/>
      <c r="S275" s="2"/>
      <c r="T275" s="10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IU275" s="2"/>
      <c r="IV275" s="2"/>
      <c r="IW275" s="2"/>
      <c r="IX275" s="2"/>
      <c r="IY275" s="2"/>
      <c r="IZ275" s="2"/>
      <c r="JA275" s="2"/>
      <c r="JB275" s="2"/>
      <c r="J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I276" s="209"/>
      <c r="J276" s="210"/>
      <c r="K276" s="209"/>
      <c r="L276" s="209"/>
      <c r="N276" s="2"/>
      <c r="O276" s="2"/>
      <c r="P276" s="2"/>
      <c r="Q276" s="2"/>
      <c r="R276" s="2"/>
      <c r="S276" s="2"/>
      <c r="T276" s="10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IU276" s="2"/>
      <c r="IV276" s="2"/>
      <c r="IW276" s="2"/>
      <c r="IX276" s="2"/>
      <c r="IY276" s="2"/>
      <c r="IZ276" s="2"/>
      <c r="JA276" s="2"/>
      <c r="JB276" s="2"/>
      <c r="J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I277" s="5"/>
      <c r="J277" s="211"/>
      <c r="K277" s="5"/>
      <c r="L277" s="5"/>
      <c r="N277" s="2"/>
      <c r="O277" s="2"/>
      <c r="P277" s="2"/>
      <c r="Q277" s="2"/>
      <c r="R277" s="2"/>
      <c r="S277" s="2"/>
      <c r="T277" s="7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IU277" s="2"/>
      <c r="IV277" s="2"/>
      <c r="IW277" s="2"/>
      <c r="IX277" s="2"/>
      <c r="IY277" s="2"/>
      <c r="IZ277" s="2"/>
      <c r="JA277" s="2"/>
      <c r="JB277" s="2"/>
      <c r="J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I278" s="209"/>
      <c r="J278" s="210"/>
      <c r="K278" s="209"/>
      <c r="L278" s="209"/>
      <c r="N278" s="2"/>
      <c r="O278" s="2"/>
      <c r="P278" s="2"/>
      <c r="Q278" s="2"/>
      <c r="R278" s="2"/>
      <c r="S278" s="2"/>
      <c r="T278" s="100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IU278" s="2"/>
      <c r="IV278" s="2"/>
      <c r="IW278" s="2"/>
      <c r="IX278" s="2"/>
      <c r="IY278" s="2"/>
      <c r="IZ278" s="2"/>
      <c r="JA278" s="2"/>
      <c r="JB278" s="2"/>
      <c r="J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I279" s="5"/>
      <c r="J279" s="211"/>
      <c r="K279" s="5"/>
      <c r="L279" s="5"/>
      <c r="N279" s="2"/>
      <c r="O279" s="2"/>
      <c r="P279" s="2"/>
      <c r="Q279" s="2"/>
      <c r="R279" s="2"/>
      <c r="S279" s="2"/>
      <c r="T279" s="7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IU279" s="2"/>
      <c r="IV279" s="2"/>
      <c r="IW279" s="2"/>
      <c r="IX279" s="2"/>
      <c r="IY279" s="2"/>
      <c r="IZ279" s="2"/>
      <c r="JA279" s="2"/>
      <c r="JB279" s="2"/>
      <c r="J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I280" s="209"/>
      <c r="J280" s="210"/>
      <c r="K280" s="209"/>
      <c r="L280" s="209"/>
      <c r="N280" s="2"/>
      <c r="O280" s="2"/>
      <c r="P280" s="2"/>
      <c r="Q280" s="2"/>
      <c r="R280" s="2"/>
      <c r="S280" s="2"/>
      <c r="T280" s="100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IU280" s="2"/>
      <c r="IV280" s="2"/>
      <c r="IW280" s="2"/>
      <c r="IX280" s="2"/>
      <c r="IY280" s="2"/>
      <c r="IZ280" s="2"/>
      <c r="JA280" s="2"/>
      <c r="JB280" s="2"/>
      <c r="J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I281" s="5"/>
      <c r="J281" s="211"/>
      <c r="K281" s="5"/>
      <c r="L281" s="5"/>
      <c r="N281" s="2"/>
      <c r="O281" s="2"/>
      <c r="P281" s="2"/>
      <c r="Q281" s="2"/>
      <c r="R281" s="2"/>
      <c r="S281" s="2"/>
      <c r="T281" s="7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IU281" s="2"/>
      <c r="IV281" s="2"/>
      <c r="IW281" s="2"/>
      <c r="IX281" s="2"/>
      <c r="IY281" s="2"/>
      <c r="IZ281" s="2"/>
      <c r="JA281" s="2"/>
      <c r="JB281" s="2"/>
      <c r="J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I282" s="209"/>
      <c r="J282" s="210"/>
      <c r="K282" s="209"/>
      <c r="L282" s="209"/>
      <c r="N282" s="2"/>
      <c r="O282" s="2"/>
      <c r="P282" s="2"/>
      <c r="Q282" s="2"/>
      <c r="R282" s="2"/>
      <c r="S282" s="2"/>
      <c r="T282" s="100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IU282" s="2"/>
      <c r="IV282" s="2"/>
      <c r="IW282" s="2"/>
      <c r="IX282" s="2"/>
      <c r="IY282" s="2"/>
      <c r="IZ282" s="2"/>
      <c r="JA282" s="2"/>
      <c r="JB282" s="2"/>
      <c r="J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I283" s="5"/>
      <c r="J283" s="211"/>
      <c r="K283" s="5"/>
      <c r="L283" s="5"/>
      <c r="N283" s="2"/>
      <c r="O283" s="2"/>
      <c r="P283" s="2"/>
      <c r="Q283" s="2"/>
      <c r="R283" s="2"/>
      <c r="S283" s="2"/>
      <c r="T283" s="7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IU283" s="2"/>
      <c r="IV283" s="2"/>
      <c r="IW283" s="2"/>
      <c r="IX283" s="2"/>
      <c r="IY283" s="2"/>
      <c r="IZ283" s="2"/>
      <c r="JA283" s="2"/>
      <c r="JB283" s="2"/>
      <c r="J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I284" s="209"/>
      <c r="J284" s="210"/>
      <c r="K284" s="209"/>
      <c r="L284" s="209"/>
      <c r="N284" s="2"/>
      <c r="O284" s="2"/>
      <c r="P284" s="2"/>
      <c r="Q284" s="2"/>
      <c r="R284" s="2"/>
      <c r="S284" s="2"/>
      <c r="T284" s="100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IU284" s="2"/>
      <c r="IV284" s="2"/>
      <c r="IW284" s="2"/>
      <c r="IX284" s="2"/>
      <c r="IY284" s="2"/>
      <c r="IZ284" s="2"/>
      <c r="JA284" s="2"/>
      <c r="JB284" s="2"/>
      <c r="J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I285" s="5"/>
      <c r="J285" s="211"/>
      <c r="K285" s="5"/>
      <c r="L285" s="5"/>
      <c r="N285" s="2"/>
      <c r="O285" s="2"/>
      <c r="P285" s="2"/>
      <c r="Q285" s="2"/>
      <c r="R285" s="2"/>
      <c r="S285" s="2"/>
      <c r="T285" s="7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IU285" s="2"/>
      <c r="IV285" s="2"/>
      <c r="IW285" s="2"/>
      <c r="IX285" s="2"/>
      <c r="IY285" s="2"/>
      <c r="IZ285" s="2"/>
      <c r="JA285" s="2"/>
      <c r="JB285" s="2"/>
      <c r="J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I286" s="209"/>
      <c r="J286" s="210"/>
      <c r="K286" s="209"/>
      <c r="L286" s="209"/>
      <c r="N286" s="2"/>
      <c r="O286" s="2"/>
      <c r="P286" s="2"/>
      <c r="Q286" s="2"/>
      <c r="R286" s="2"/>
      <c r="S286" s="2"/>
      <c r="T286" s="100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IU286" s="2"/>
      <c r="IV286" s="2"/>
      <c r="IW286" s="2"/>
      <c r="IX286" s="2"/>
      <c r="IY286" s="2"/>
      <c r="IZ286" s="2"/>
      <c r="JA286" s="2"/>
      <c r="JB286" s="2"/>
      <c r="J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I287" s="5"/>
      <c r="J287" s="211"/>
      <c r="K287" s="5"/>
      <c r="L287" s="5"/>
      <c r="N287" s="2"/>
      <c r="O287" s="2"/>
      <c r="P287" s="2"/>
      <c r="Q287" s="2"/>
      <c r="R287" s="2"/>
      <c r="S287" s="2"/>
      <c r="T287" s="7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IU287" s="2"/>
      <c r="IV287" s="2"/>
      <c r="IW287" s="2"/>
      <c r="IX287" s="2"/>
      <c r="IY287" s="2"/>
      <c r="IZ287" s="2"/>
      <c r="JA287" s="2"/>
      <c r="JB287" s="2"/>
      <c r="J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I288" s="209"/>
      <c r="J288" s="210"/>
      <c r="K288" s="209"/>
      <c r="L288" s="209"/>
      <c r="N288" s="2"/>
      <c r="O288" s="2"/>
      <c r="P288" s="2"/>
      <c r="Q288" s="2"/>
      <c r="R288" s="2"/>
      <c r="S288" s="2"/>
      <c r="T288" s="3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IU288" s="2"/>
      <c r="IV288" s="2"/>
      <c r="IW288" s="2"/>
      <c r="IX288" s="2"/>
      <c r="IY288" s="2"/>
      <c r="IZ288" s="2"/>
      <c r="JA288" s="2"/>
      <c r="JB288" s="2"/>
      <c r="J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I289" s="5"/>
      <c r="J289" s="211"/>
      <c r="K289" s="5"/>
      <c r="L289" s="5"/>
      <c r="N289" s="2"/>
      <c r="O289" s="2"/>
      <c r="P289" s="2"/>
      <c r="Q289" s="2"/>
      <c r="R289" s="2"/>
      <c r="S289" s="2"/>
      <c r="T289" s="10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IU289" s="2"/>
      <c r="IV289" s="2"/>
      <c r="IW289" s="2"/>
      <c r="IX289" s="2"/>
      <c r="IY289" s="2"/>
      <c r="IZ289" s="2"/>
      <c r="JA289" s="2"/>
      <c r="JB289" s="2"/>
      <c r="J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I290" s="209"/>
      <c r="J290" s="210"/>
      <c r="K290" s="209"/>
      <c r="L290" s="209"/>
      <c r="N290" s="2"/>
      <c r="O290" s="2"/>
      <c r="P290" s="2"/>
      <c r="Q290" s="2"/>
      <c r="R290" s="2"/>
      <c r="S290" s="2"/>
      <c r="T290" s="10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IU290" s="2"/>
      <c r="IV290" s="2"/>
      <c r="IW290" s="2"/>
      <c r="IX290" s="2"/>
      <c r="IY290" s="2"/>
      <c r="IZ290" s="2"/>
      <c r="JA290" s="2"/>
      <c r="JB290" s="2"/>
      <c r="J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I291" s="5"/>
      <c r="J291" s="211"/>
      <c r="K291" s="5"/>
      <c r="L291" s="5"/>
      <c r="N291" s="2"/>
      <c r="O291" s="2"/>
      <c r="P291" s="2"/>
      <c r="Q291" s="2"/>
      <c r="R291" s="2"/>
      <c r="S291" s="2"/>
      <c r="T291" s="10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IU291" s="2"/>
      <c r="IV291" s="2"/>
      <c r="IW291" s="2"/>
      <c r="IX291" s="2"/>
      <c r="IY291" s="2"/>
      <c r="IZ291" s="2"/>
      <c r="JA291" s="2"/>
      <c r="JB291" s="2"/>
      <c r="J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I292" s="209"/>
      <c r="J292" s="210"/>
      <c r="K292" s="209"/>
      <c r="L292" s="209"/>
      <c r="N292" s="2"/>
      <c r="O292" s="2"/>
      <c r="P292" s="2"/>
      <c r="Q292" s="2"/>
      <c r="R292" s="2"/>
      <c r="S292" s="2"/>
      <c r="T292" s="10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IU292" s="2"/>
      <c r="IV292" s="2"/>
      <c r="IW292" s="2"/>
      <c r="IX292" s="2"/>
      <c r="IY292" s="2"/>
      <c r="IZ292" s="2"/>
      <c r="JA292" s="2"/>
      <c r="JB292" s="2"/>
      <c r="J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I293" s="5"/>
      <c r="J293" s="211"/>
      <c r="K293" s="5"/>
      <c r="L293" s="5"/>
      <c r="N293" s="2"/>
      <c r="O293" s="2"/>
      <c r="P293" s="2"/>
      <c r="Q293" s="2"/>
      <c r="R293" s="2"/>
      <c r="S293" s="2"/>
      <c r="T293" s="7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IU293" s="2"/>
      <c r="IV293" s="2"/>
      <c r="IW293" s="2"/>
      <c r="IX293" s="2"/>
      <c r="IY293" s="2"/>
      <c r="IZ293" s="2"/>
      <c r="JA293" s="2"/>
      <c r="JB293" s="2"/>
      <c r="J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I294" s="209"/>
      <c r="J294" s="210"/>
      <c r="K294" s="209"/>
      <c r="L294" s="209"/>
      <c r="N294" s="2"/>
      <c r="O294" s="2"/>
      <c r="P294" s="2"/>
      <c r="Q294" s="2"/>
      <c r="R294" s="2"/>
      <c r="S294" s="2"/>
      <c r="T294" s="100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IU294" s="2"/>
      <c r="IV294" s="2"/>
      <c r="IW294" s="2"/>
      <c r="IX294" s="2"/>
      <c r="IY294" s="2"/>
      <c r="IZ294" s="2"/>
      <c r="JA294" s="2"/>
      <c r="JB294" s="2"/>
      <c r="J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I295" s="5"/>
      <c r="J295" s="211"/>
      <c r="K295" s="5"/>
      <c r="L295" s="5"/>
      <c r="N295" s="2"/>
      <c r="O295" s="2"/>
      <c r="P295" s="2"/>
      <c r="Q295" s="2"/>
      <c r="R295" s="2"/>
      <c r="S295" s="2"/>
      <c r="T295" s="7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IU295" s="2"/>
      <c r="IV295" s="2"/>
      <c r="IW295" s="2"/>
      <c r="IX295" s="2"/>
      <c r="IY295" s="2"/>
      <c r="IZ295" s="2"/>
      <c r="JA295" s="2"/>
      <c r="JB295" s="2"/>
      <c r="J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I296" s="209"/>
      <c r="J296" s="210"/>
      <c r="K296" s="209"/>
      <c r="L296" s="209"/>
      <c r="N296" s="2"/>
      <c r="O296" s="2"/>
      <c r="P296" s="2"/>
      <c r="Q296" s="2"/>
      <c r="R296" s="2"/>
      <c r="S296" s="2"/>
      <c r="T296" s="100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IU296" s="2"/>
      <c r="IV296" s="2"/>
      <c r="IW296" s="2"/>
      <c r="IX296" s="2"/>
      <c r="IY296" s="2"/>
      <c r="IZ296" s="2"/>
      <c r="JA296" s="2"/>
      <c r="JB296" s="2"/>
      <c r="J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I297" s="5"/>
      <c r="J297" s="211"/>
      <c r="K297" s="5"/>
      <c r="L297" s="5"/>
      <c r="N297" s="2"/>
      <c r="O297" s="2"/>
      <c r="P297" s="2"/>
      <c r="Q297" s="2"/>
      <c r="R297" s="2"/>
      <c r="S297" s="2"/>
      <c r="T297" s="7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IU297" s="2"/>
      <c r="IV297" s="2"/>
      <c r="IW297" s="2"/>
      <c r="IX297" s="2"/>
      <c r="IY297" s="2"/>
      <c r="IZ297" s="2"/>
      <c r="JA297" s="2"/>
      <c r="JB297" s="2"/>
      <c r="J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I298" s="209"/>
      <c r="J298" s="210"/>
      <c r="K298" s="209"/>
      <c r="L298" s="209"/>
      <c r="N298" s="2"/>
      <c r="O298" s="2"/>
      <c r="P298" s="2"/>
      <c r="Q298" s="2"/>
      <c r="R298" s="2"/>
      <c r="S298" s="2"/>
      <c r="T298" s="100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IU298" s="2"/>
      <c r="IV298" s="2"/>
      <c r="IW298" s="2"/>
      <c r="IX298" s="2"/>
      <c r="IY298" s="2"/>
      <c r="IZ298" s="2"/>
      <c r="JA298" s="2"/>
      <c r="JB298" s="2"/>
      <c r="J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I299" s="5"/>
      <c r="J299" s="211"/>
      <c r="K299" s="5"/>
      <c r="L299" s="5"/>
      <c r="N299" s="2"/>
      <c r="O299" s="2"/>
      <c r="P299" s="2"/>
      <c r="Q299" s="2"/>
      <c r="R299" s="2"/>
      <c r="S299" s="2"/>
      <c r="T299" s="7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IU299" s="2"/>
      <c r="IV299" s="2"/>
      <c r="IW299" s="2"/>
      <c r="IX299" s="2"/>
      <c r="IY299" s="2"/>
      <c r="IZ299" s="2"/>
      <c r="JA299" s="2"/>
      <c r="JB299" s="2"/>
      <c r="J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I300" s="209"/>
      <c r="J300" s="210"/>
      <c r="K300" s="209"/>
      <c r="L300" s="209"/>
      <c r="N300" s="2"/>
      <c r="O300" s="2"/>
      <c r="P300" s="2"/>
      <c r="Q300" s="2"/>
      <c r="R300" s="2"/>
      <c r="S300" s="2"/>
      <c r="T300" s="100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IU300" s="2"/>
      <c r="IV300" s="2"/>
      <c r="IW300" s="2"/>
      <c r="IX300" s="2"/>
      <c r="IY300" s="2"/>
      <c r="IZ300" s="2"/>
      <c r="JA300" s="2"/>
      <c r="JB300" s="2"/>
      <c r="J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I301" s="5"/>
      <c r="J301" s="211"/>
      <c r="K301" s="5"/>
      <c r="L301" s="5"/>
      <c r="N301" s="2"/>
      <c r="O301" s="2"/>
      <c r="P301" s="2"/>
      <c r="Q301" s="2"/>
      <c r="R301" s="2"/>
      <c r="S301" s="2"/>
      <c r="T301" s="7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IU301" s="2"/>
      <c r="IV301" s="2"/>
      <c r="IW301" s="2"/>
      <c r="IX301" s="2"/>
      <c r="IY301" s="2"/>
      <c r="IZ301" s="2"/>
      <c r="JA301" s="2"/>
      <c r="JB301" s="2"/>
      <c r="J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I302" s="209"/>
      <c r="J302" s="210"/>
      <c r="K302" s="209"/>
      <c r="L302" s="209"/>
      <c r="N302" s="2"/>
      <c r="O302" s="2"/>
      <c r="P302" s="2"/>
      <c r="Q302" s="2"/>
      <c r="R302" s="2"/>
      <c r="S302" s="2"/>
      <c r="T302" s="100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IU302" s="2"/>
      <c r="IV302" s="2"/>
      <c r="IW302" s="2"/>
      <c r="IX302" s="2"/>
      <c r="IY302" s="2"/>
      <c r="IZ302" s="2"/>
      <c r="JA302" s="2"/>
      <c r="JB302" s="2"/>
      <c r="J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I303" s="5"/>
      <c r="J303" s="211"/>
      <c r="K303" s="5"/>
      <c r="L303" s="5"/>
      <c r="N303" s="2"/>
      <c r="O303" s="2"/>
      <c r="P303" s="2"/>
      <c r="Q303" s="2"/>
      <c r="R303" s="2"/>
      <c r="S303" s="2"/>
      <c r="T303" s="7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IU303" s="2"/>
      <c r="IV303" s="2"/>
      <c r="IW303" s="2"/>
      <c r="IX303" s="2"/>
      <c r="IY303" s="2"/>
      <c r="IZ303" s="2"/>
      <c r="JA303" s="2"/>
      <c r="JB303" s="2"/>
      <c r="J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I304" s="209"/>
      <c r="J304" s="210"/>
      <c r="K304" s="209"/>
      <c r="L304" s="209"/>
      <c r="N304" s="2"/>
      <c r="O304" s="2"/>
      <c r="P304" s="2"/>
      <c r="Q304" s="2"/>
      <c r="R304" s="2"/>
      <c r="S304" s="2"/>
      <c r="T304" s="3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IU304" s="2"/>
      <c r="IV304" s="2"/>
      <c r="IW304" s="2"/>
      <c r="IX304" s="2"/>
      <c r="IY304" s="2"/>
      <c r="IZ304" s="2"/>
      <c r="JA304" s="2"/>
      <c r="JB304" s="2"/>
      <c r="J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I305" s="5"/>
      <c r="J305" s="211"/>
      <c r="K305" s="5"/>
      <c r="L305" s="5"/>
      <c r="N305" s="2"/>
      <c r="O305" s="2"/>
      <c r="P305" s="2"/>
      <c r="Q305" s="2"/>
      <c r="R305" s="2"/>
      <c r="S305" s="2"/>
      <c r="T305" s="10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IU305" s="2"/>
      <c r="IV305" s="2"/>
      <c r="IW305" s="2"/>
      <c r="IX305" s="2"/>
      <c r="IY305" s="2"/>
      <c r="IZ305" s="2"/>
      <c r="JA305" s="2"/>
      <c r="JB305" s="2"/>
      <c r="J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I306" s="209"/>
      <c r="J306" s="210"/>
      <c r="K306" s="209"/>
      <c r="L306" s="209"/>
      <c r="N306" s="2"/>
      <c r="O306" s="2"/>
      <c r="P306" s="2"/>
      <c r="Q306" s="2"/>
      <c r="R306" s="2"/>
      <c r="S306" s="2"/>
      <c r="T306" s="10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IU306" s="2"/>
      <c r="IV306" s="2"/>
      <c r="IW306" s="2"/>
      <c r="IX306" s="2"/>
      <c r="IY306" s="2"/>
      <c r="IZ306" s="2"/>
      <c r="JA306" s="2"/>
      <c r="JB306" s="2"/>
      <c r="J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I307" s="5"/>
      <c r="J307" s="211"/>
      <c r="K307" s="5"/>
      <c r="L307" s="5"/>
      <c r="N307" s="2"/>
      <c r="O307" s="2"/>
      <c r="P307" s="2"/>
      <c r="Q307" s="2"/>
      <c r="R307" s="2"/>
      <c r="S307" s="2"/>
      <c r="T307" s="10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IU307" s="2"/>
      <c r="IV307" s="2"/>
      <c r="IW307" s="2"/>
      <c r="IX307" s="2"/>
      <c r="IY307" s="2"/>
      <c r="IZ307" s="2"/>
      <c r="JA307" s="2"/>
      <c r="JB307" s="2"/>
      <c r="J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I308" s="209"/>
      <c r="J308" s="210"/>
      <c r="K308" s="209"/>
      <c r="L308" s="209"/>
      <c r="N308" s="2"/>
      <c r="O308" s="2"/>
      <c r="P308" s="2"/>
      <c r="Q308" s="2"/>
      <c r="R308" s="2"/>
      <c r="S308" s="2"/>
      <c r="T308" s="10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IU308" s="2"/>
      <c r="IV308" s="2"/>
      <c r="IW308" s="2"/>
      <c r="IX308" s="2"/>
      <c r="IY308" s="2"/>
      <c r="IZ308" s="2"/>
      <c r="JA308" s="2"/>
      <c r="JB308" s="2"/>
      <c r="J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I309" s="5"/>
      <c r="J309" s="211"/>
      <c r="K309" s="5"/>
      <c r="L309" s="5"/>
      <c r="N309" s="2"/>
      <c r="O309" s="2"/>
      <c r="P309" s="2"/>
      <c r="Q309" s="2"/>
      <c r="R309" s="2"/>
      <c r="S309" s="2"/>
      <c r="T309" s="7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IU309" s="2"/>
      <c r="IV309" s="2"/>
      <c r="IW309" s="2"/>
      <c r="IX309" s="2"/>
      <c r="IY309" s="2"/>
      <c r="IZ309" s="2"/>
      <c r="JA309" s="2"/>
      <c r="JB309" s="2"/>
      <c r="J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I310" s="209"/>
      <c r="J310" s="210"/>
      <c r="K310" s="209"/>
      <c r="L310" s="209"/>
      <c r="N310" s="2"/>
      <c r="O310" s="2"/>
      <c r="P310" s="2"/>
      <c r="Q310" s="2"/>
      <c r="R310" s="2"/>
      <c r="S310" s="2"/>
      <c r="T310" s="100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IU310" s="2"/>
      <c r="IV310" s="2"/>
      <c r="IW310" s="2"/>
      <c r="IX310" s="2"/>
      <c r="IY310" s="2"/>
      <c r="IZ310" s="2"/>
      <c r="JA310" s="2"/>
      <c r="JB310" s="2"/>
      <c r="J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I311" s="5"/>
      <c r="J311" s="211"/>
      <c r="K311" s="5"/>
      <c r="L311" s="5"/>
      <c r="N311" s="2"/>
      <c r="O311" s="2"/>
      <c r="P311" s="2"/>
      <c r="Q311" s="2"/>
      <c r="R311" s="2"/>
      <c r="S311" s="2"/>
      <c r="T311" s="7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IU311" s="2"/>
      <c r="IV311" s="2"/>
      <c r="IW311" s="2"/>
      <c r="IX311" s="2"/>
      <c r="IY311" s="2"/>
      <c r="IZ311" s="2"/>
      <c r="JA311" s="2"/>
      <c r="JB311" s="2"/>
      <c r="J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I312" s="209"/>
      <c r="J312" s="210"/>
      <c r="K312" s="209"/>
      <c r="L312" s="209"/>
      <c r="N312" s="2"/>
      <c r="O312" s="2"/>
      <c r="P312" s="2"/>
      <c r="Q312" s="2"/>
      <c r="R312" s="2"/>
      <c r="S312" s="2"/>
      <c r="T312" s="100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IU312" s="2"/>
      <c r="IV312" s="2"/>
      <c r="IW312" s="2"/>
      <c r="IX312" s="2"/>
      <c r="IY312" s="2"/>
      <c r="IZ312" s="2"/>
      <c r="JA312" s="2"/>
      <c r="JB312" s="2"/>
      <c r="J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I313" s="5"/>
      <c r="J313" s="211"/>
      <c r="K313" s="5"/>
      <c r="L313" s="5"/>
      <c r="N313" s="2"/>
      <c r="O313" s="2"/>
      <c r="P313" s="2"/>
      <c r="Q313" s="2"/>
      <c r="R313" s="2"/>
      <c r="S313" s="2"/>
      <c r="T313" s="7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IU313" s="2"/>
      <c r="IV313" s="2"/>
      <c r="IW313" s="2"/>
      <c r="IX313" s="2"/>
      <c r="IY313" s="2"/>
      <c r="IZ313" s="2"/>
      <c r="JA313" s="2"/>
      <c r="JB313" s="2"/>
      <c r="J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I314" s="209"/>
      <c r="J314" s="210"/>
      <c r="K314" s="209"/>
      <c r="L314" s="209"/>
      <c r="N314" s="2"/>
      <c r="O314" s="2"/>
      <c r="P314" s="2"/>
      <c r="Q314" s="2"/>
      <c r="R314" s="2"/>
      <c r="S314" s="2"/>
      <c r="T314" s="100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IU314" s="2"/>
      <c r="IV314" s="2"/>
      <c r="IW314" s="2"/>
      <c r="IX314" s="2"/>
      <c r="IY314" s="2"/>
      <c r="IZ314" s="2"/>
      <c r="JA314" s="2"/>
      <c r="JB314" s="2"/>
      <c r="J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I315" s="5"/>
      <c r="J315" s="211"/>
      <c r="K315" s="5"/>
      <c r="L315" s="5"/>
      <c r="N315" s="2"/>
      <c r="O315" s="2"/>
      <c r="P315" s="2"/>
      <c r="Q315" s="2"/>
      <c r="R315" s="2"/>
      <c r="S315" s="2"/>
      <c r="T315" s="7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IU315" s="2"/>
      <c r="IV315" s="2"/>
      <c r="IW315" s="2"/>
      <c r="IX315" s="2"/>
      <c r="IY315" s="2"/>
      <c r="IZ315" s="2"/>
      <c r="JA315" s="2"/>
      <c r="JB315" s="2"/>
      <c r="J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I316" s="209"/>
      <c r="J316" s="210"/>
      <c r="K316" s="209"/>
      <c r="L316" s="209"/>
      <c r="N316" s="2"/>
      <c r="O316" s="2"/>
      <c r="P316" s="2"/>
      <c r="Q316" s="2"/>
      <c r="R316" s="2"/>
      <c r="S316" s="2"/>
      <c r="T316" s="100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IU316" s="2"/>
      <c r="IV316" s="2"/>
      <c r="IW316" s="2"/>
      <c r="IX316" s="2"/>
      <c r="IY316" s="2"/>
      <c r="IZ316" s="2"/>
      <c r="JA316" s="2"/>
      <c r="JB316" s="2"/>
      <c r="J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I317" s="5"/>
      <c r="J317" s="211"/>
      <c r="K317" s="5"/>
      <c r="L317" s="5"/>
      <c r="N317" s="2"/>
      <c r="O317" s="2"/>
      <c r="P317" s="2"/>
      <c r="Q317" s="2"/>
      <c r="R317" s="2"/>
      <c r="S317" s="2"/>
      <c r="T317" s="7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IU317" s="2"/>
      <c r="IV317" s="2"/>
      <c r="IW317" s="2"/>
      <c r="IX317" s="2"/>
      <c r="IY317" s="2"/>
      <c r="IZ317" s="2"/>
      <c r="JA317" s="2"/>
      <c r="JB317" s="2"/>
      <c r="J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I318" s="209"/>
      <c r="J318" s="210"/>
      <c r="K318" s="209"/>
      <c r="L318" s="209"/>
      <c r="N318" s="2"/>
      <c r="O318" s="2"/>
      <c r="P318" s="2"/>
      <c r="Q318" s="2"/>
      <c r="R318" s="2"/>
      <c r="S318" s="2"/>
      <c r="T318" s="100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IU318" s="2"/>
      <c r="IV318" s="2"/>
      <c r="IW318" s="2"/>
      <c r="IX318" s="2"/>
      <c r="IY318" s="2"/>
      <c r="IZ318" s="2"/>
      <c r="JA318" s="2"/>
      <c r="JB318" s="2"/>
      <c r="J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I319" s="5"/>
      <c r="J319" s="211"/>
      <c r="K319" s="5"/>
      <c r="L319" s="5"/>
      <c r="N319" s="2"/>
      <c r="O319" s="2"/>
      <c r="P319" s="2"/>
      <c r="Q319" s="2"/>
      <c r="R319" s="2"/>
      <c r="S319" s="2"/>
      <c r="T319" s="7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IU319" s="2"/>
      <c r="IV319" s="2"/>
      <c r="IW319" s="2"/>
      <c r="IX319" s="2"/>
      <c r="IY319" s="2"/>
      <c r="IZ319" s="2"/>
      <c r="JA319" s="2"/>
      <c r="JB319" s="2"/>
      <c r="J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I320" s="209"/>
      <c r="J320" s="210"/>
      <c r="K320" s="209"/>
      <c r="L320" s="209"/>
      <c r="N320" s="2"/>
      <c r="O320" s="2"/>
      <c r="P320" s="2"/>
      <c r="Q320" s="2"/>
      <c r="R320" s="2"/>
      <c r="S320" s="2"/>
      <c r="T320" s="3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IU320" s="2"/>
      <c r="IV320" s="2"/>
      <c r="IW320" s="2"/>
      <c r="IX320" s="2"/>
      <c r="IY320" s="2"/>
      <c r="IZ320" s="2"/>
      <c r="JA320" s="2"/>
      <c r="JB320" s="2"/>
      <c r="J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I321" s="5"/>
      <c r="J321" s="211"/>
      <c r="K321" s="5"/>
      <c r="L321" s="5"/>
      <c r="N321" s="2"/>
      <c r="O321" s="2"/>
      <c r="P321" s="2"/>
      <c r="Q321" s="2"/>
      <c r="R321" s="2"/>
      <c r="S321" s="2"/>
      <c r="T321" s="10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IU321" s="2"/>
      <c r="IV321" s="2"/>
      <c r="IW321" s="2"/>
      <c r="IX321" s="2"/>
      <c r="IY321" s="2"/>
      <c r="IZ321" s="2"/>
      <c r="JA321" s="2"/>
      <c r="JB321" s="2"/>
      <c r="J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I322" s="209"/>
      <c r="J322" s="210"/>
      <c r="K322" s="209"/>
      <c r="L322" s="209"/>
      <c r="N322" s="2"/>
      <c r="O322" s="2"/>
      <c r="P322" s="2"/>
      <c r="Q322" s="2"/>
      <c r="R322" s="2"/>
      <c r="S322" s="2"/>
      <c r="T322" s="10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IU322" s="2"/>
      <c r="IV322" s="2"/>
      <c r="IW322" s="2"/>
      <c r="IX322" s="2"/>
      <c r="IY322" s="2"/>
      <c r="IZ322" s="2"/>
      <c r="JA322" s="2"/>
      <c r="JB322" s="2"/>
      <c r="J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I323" s="5"/>
      <c r="J323" s="211"/>
      <c r="K323" s="5"/>
      <c r="L323" s="5"/>
      <c r="N323" s="2"/>
      <c r="O323" s="2"/>
      <c r="P323" s="2"/>
      <c r="Q323" s="2"/>
      <c r="R323" s="2"/>
      <c r="S323" s="2"/>
      <c r="T323" s="10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IU323" s="2"/>
      <c r="IV323" s="2"/>
      <c r="IW323" s="2"/>
      <c r="IX323" s="2"/>
      <c r="IY323" s="2"/>
      <c r="IZ323" s="2"/>
      <c r="JA323" s="2"/>
      <c r="JB323" s="2"/>
      <c r="J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I324" s="209"/>
      <c r="J324" s="210"/>
      <c r="K324" s="209"/>
      <c r="L324" s="209"/>
      <c r="N324" s="2"/>
      <c r="O324" s="2"/>
      <c r="P324" s="2"/>
      <c r="Q324" s="2"/>
      <c r="R324" s="2"/>
      <c r="S324" s="2"/>
      <c r="T324" s="10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IU324" s="2"/>
      <c r="IV324" s="2"/>
      <c r="IW324" s="2"/>
      <c r="IX324" s="2"/>
      <c r="IY324" s="2"/>
      <c r="IZ324" s="2"/>
      <c r="JA324" s="2"/>
      <c r="JB324" s="2"/>
      <c r="J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I325" s="5"/>
      <c r="J325" s="211"/>
      <c r="K325" s="5"/>
      <c r="L325" s="5"/>
      <c r="N325" s="2"/>
      <c r="O325" s="2"/>
      <c r="P325" s="2"/>
      <c r="Q325" s="2"/>
      <c r="R325" s="2"/>
      <c r="S325" s="2"/>
      <c r="T325" s="7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IU325" s="2"/>
      <c r="IV325" s="2"/>
      <c r="IW325" s="2"/>
      <c r="IX325" s="2"/>
      <c r="IY325" s="2"/>
      <c r="IZ325" s="2"/>
      <c r="JA325" s="2"/>
      <c r="JB325" s="2"/>
      <c r="J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I326" s="209"/>
      <c r="J326" s="210"/>
      <c r="K326" s="209"/>
      <c r="L326" s="209"/>
      <c r="N326" s="2"/>
      <c r="O326" s="2"/>
      <c r="P326" s="2"/>
      <c r="Q326" s="2"/>
      <c r="R326" s="2"/>
      <c r="S326" s="2"/>
      <c r="T326" s="100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IU326" s="2"/>
      <c r="IV326" s="2"/>
      <c r="IW326" s="2"/>
      <c r="IX326" s="2"/>
      <c r="IY326" s="2"/>
      <c r="IZ326" s="2"/>
      <c r="JA326" s="2"/>
      <c r="JB326" s="2"/>
      <c r="J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I327" s="5"/>
      <c r="J327" s="211"/>
      <c r="K327" s="5"/>
      <c r="L327" s="5"/>
      <c r="N327" s="2"/>
      <c r="O327" s="2"/>
      <c r="P327" s="2"/>
      <c r="Q327" s="2"/>
      <c r="R327" s="2"/>
      <c r="S327" s="2"/>
      <c r="T327" s="7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IU327" s="2"/>
      <c r="IV327" s="2"/>
      <c r="IW327" s="2"/>
      <c r="IX327" s="2"/>
      <c r="IY327" s="2"/>
      <c r="IZ327" s="2"/>
      <c r="JA327" s="2"/>
      <c r="JB327" s="2"/>
      <c r="J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I328" s="209"/>
      <c r="J328" s="210"/>
      <c r="K328" s="209"/>
      <c r="L328" s="209"/>
      <c r="N328" s="2"/>
      <c r="O328" s="2"/>
      <c r="P328" s="2"/>
      <c r="Q328" s="2"/>
      <c r="R328" s="2"/>
      <c r="S328" s="2"/>
      <c r="T328" s="100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IU328" s="2"/>
      <c r="IV328" s="2"/>
      <c r="IW328" s="2"/>
      <c r="IX328" s="2"/>
      <c r="IY328" s="2"/>
      <c r="IZ328" s="2"/>
      <c r="JA328" s="2"/>
      <c r="JB328" s="2"/>
      <c r="J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I329" s="5"/>
      <c r="J329" s="211"/>
      <c r="K329" s="5"/>
      <c r="L329" s="5"/>
      <c r="N329" s="2"/>
      <c r="O329" s="2"/>
      <c r="P329" s="2"/>
      <c r="Q329" s="2"/>
      <c r="R329" s="2"/>
      <c r="S329" s="2"/>
      <c r="T329" s="7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IU329" s="2"/>
      <c r="IV329" s="2"/>
      <c r="IW329" s="2"/>
      <c r="IX329" s="2"/>
      <c r="IY329" s="2"/>
      <c r="IZ329" s="2"/>
      <c r="JA329" s="2"/>
      <c r="JB329" s="2"/>
      <c r="J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I330" s="209"/>
      <c r="J330" s="210"/>
      <c r="K330" s="209"/>
      <c r="L330" s="209"/>
      <c r="N330" s="2"/>
      <c r="O330" s="2"/>
      <c r="P330" s="2"/>
      <c r="Q330" s="2"/>
      <c r="R330" s="2"/>
      <c r="S330" s="2"/>
      <c r="T330" s="100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IU330" s="2"/>
      <c r="IV330" s="2"/>
      <c r="IW330" s="2"/>
      <c r="IX330" s="2"/>
      <c r="IY330" s="2"/>
      <c r="IZ330" s="2"/>
      <c r="JA330" s="2"/>
      <c r="JB330" s="2"/>
      <c r="J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I331" s="5"/>
      <c r="J331" s="211"/>
      <c r="K331" s="5"/>
      <c r="L331" s="5"/>
      <c r="N331" s="2"/>
      <c r="O331" s="2"/>
      <c r="P331" s="2"/>
      <c r="Q331" s="2"/>
      <c r="R331" s="2"/>
      <c r="S331" s="2"/>
      <c r="T331" s="7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IU331" s="2"/>
      <c r="IV331" s="2"/>
      <c r="IW331" s="2"/>
      <c r="IX331" s="2"/>
      <c r="IY331" s="2"/>
      <c r="IZ331" s="2"/>
      <c r="JA331" s="2"/>
      <c r="JB331" s="2"/>
      <c r="J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I332" s="209"/>
      <c r="J332" s="210"/>
      <c r="K332" s="209"/>
      <c r="L332" s="209"/>
      <c r="N332" s="2"/>
      <c r="O332" s="2"/>
      <c r="P332" s="2"/>
      <c r="Q332" s="2"/>
      <c r="R332" s="2"/>
      <c r="S332" s="2"/>
      <c r="T332" s="100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IU332" s="2"/>
      <c r="IV332" s="2"/>
      <c r="IW332" s="2"/>
      <c r="IX332" s="2"/>
      <c r="IY332" s="2"/>
      <c r="IZ332" s="2"/>
      <c r="JA332" s="2"/>
      <c r="JB332" s="2"/>
      <c r="J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I333" s="5"/>
      <c r="J333" s="211"/>
      <c r="K333" s="5"/>
      <c r="L333" s="5"/>
      <c r="N333" s="2"/>
      <c r="O333" s="2"/>
      <c r="P333" s="2"/>
      <c r="Q333" s="2"/>
      <c r="R333" s="2"/>
      <c r="S333" s="2"/>
      <c r="T333" s="7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IU333" s="2"/>
      <c r="IV333" s="2"/>
      <c r="IW333" s="2"/>
      <c r="IX333" s="2"/>
      <c r="IY333" s="2"/>
      <c r="IZ333" s="2"/>
      <c r="JA333" s="2"/>
      <c r="JB333" s="2"/>
      <c r="J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I334" s="209"/>
      <c r="J334" s="210"/>
      <c r="K334" s="209"/>
      <c r="L334" s="209"/>
      <c r="N334" s="2"/>
      <c r="O334" s="2"/>
      <c r="P334" s="2"/>
      <c r="Q334" s="2"/>
      <c r="R334" s="2"/>
      <c r="S334" s="2"/>
      <c r="T334" s="100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IU334" s="2"/>
      <c r="IV334" s="2"/>
      <c r="IW334" s="2"/>
      <c r="IX334" s="2"/>
      <c r="IY334" s="2"/>
      <c r="IZ334" s="2"/>
      <c r="JA334" s="2"/>
      <c r="JB334" s="2"/>
      <c r="J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I335" s="5"/>
      <c r="J335" s="211"/>
      <c r="K335" s="5"/>
      <c r="L335" s="5"/>
      <c r="N335" s="2"/>
      <c r="O335" s="2"/>
      <c r="P335" s="2"/>
      <c r="Q335" s="2"/>
      <c r="R335" s="2"/>
      <c r="S335" s="2"/>
      <c r="T335" s="7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IU335" s="2"/>
      <c r="IV335" s="2"/>
      <c r="IW335" s="2"/>
      <c r="IX335" s="2"/>
      <c r="IY335" s="2"/>
      <c r="IZ335" s="2"/>
      <c r="JA335" s="2"/>
      <c r="JB335" s="2"/>
      <c r="J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I336" s="209"/>
      <c r="J336" s="210"/>
      <c r="K336" s="209"/>
      <c r="L336" s="209"/>
      <c r="N336" s="2"/>
      <c r="O336" s="2"/>
      <c r="P336" s="2"/>
      <c r="Q336" s="2"/>
      <c r="R336" s="2"/>
      <c r="S336" s="2"/>
      <c r="T336" s="3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IU336" s="2"/>
      <c r="IV336" s="2"/>
      <c r="IW336" s="2"/>
      <c r="IX336" s="2"/>
      <c r="IY336" s="2"/>
      <c r="IZ336" s="2"/>
      <c r="JA336" s="2"/>
      <c r="JB336" s="2"/>
      <c r="J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I337" s="5"/>
      <c r="J337" s="211"/>
      <c r="K337" s="5"/>
      <c r="L337" s="5"/>
      <c r="N337" s="2"/>
      <c r="O337" s="2"/>
      <c r="P337" s="2"/>
      <c r="Q337" s="2"/>
      <c r="R337" s="2"/>
      <c r="S337" s="2"/>
      <c r="T337" s="10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IU337" s="2"/>
      <c r="IV337" s="2"/>
      <c r="IW337" s="2"/>
      <c r="IX337" s="2"/>
      <c r="IY337" s="2"/>
      <c r="IZ337" s="2"/>
      <c r="JA337" s="2"/>
      <c r="JB337" s="2"/>
      <c r="J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I338" s="209"/>
      <c r="J338" s="210"/>
      <c r="K338" s="209"/>
      <c r="L338" s="209"/>
      <c r="N338" s="2"/>
      <c r="O338" s="2"/>
      <c r="P338" s="2"/>
      <c r="Q338" s="2"/>
      <c r="R338" s="2"/>
      <c r="S338" s="2"/>
      <c r="T338" s="10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IU338" s="2"/>
      <c r="IV338" s="2"/>
      <c r="IW338" s="2"/>
      <c r="IX338" s="2"/>
      <c r="IY338" s="2"/>
      <c r="IZ338" s="2"/>
      <c r="JA338" s="2"/>
      <c r="JB338" s="2"/>
      <c r="J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I339" s="5"/>
      <c r="J339" s="211"/>
      <c r="K339" s="5"/>
      <c r="L339" s="5"/>
      <c r="N339" s="2"/>
      <c r="O339" s="2"/>
      <c r="P339" s="2"/>
      <c r="Q339" s="2"/>
      <c r="R339" s="2"/>
      <c r="S339" s="2"/>
      <c r="T339" s="10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IU339" s="2"/>
      <c r="IV339" s="2"/>
      <c r="IW339" s="2"/>
      <c r="IX339" s="2"/>
      <c r="IY339" s="2"/>
      <c r="IZ339" s="2"/>
      <c r="JA339" s="2"/>
      <c r="JB339" s="2"/>
      <c r="J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I340" s="209"/>
      <c r="J340" s="210"/>
      <c r="K340" s="209"/>
      <c r="L340" s="209"/>
      <c r="N340" s="2"/>
      <c r="O340" s="2"/>
      <c r="P340" s="2"/>
      <c r="Q340" s="2"/>
      <c r="R340" s="2"/>
      <c r="S340" s="2"/>
      <c r="T340" s="10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IU340" s="2"/>
      <c r="IV340" s="2"/>
      <c r="IW340" s="2"/>
      <c r="IX340" s="2"/>
      <c r="IY340" s="2"/>
      <c r="IZ340" s="2"/>
      <c r="JA340" s="2"/>
      <c r="JB340" s="2"/>
      <c r="J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I341" s="5"/>
      <c r="J341" s="211"/>
      <c r="K341" s="5"/>
      <c r="L341" s="5"/>
      <c r="N341" s="2"/>
      <c r="O341" s="2"/>
      <c r="P341" s="2"/>
      <c r="Q341" s="2"/>
      <c r="R341" s="2"/>
      <c r="S341" s="2"/>
      <c r="T341" s="7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IU341" s="2"/>
      <c r="IV341" s="2"/>
      <c r="IW341" s="2"/>
      <c r="IX341" s="2"/>
      <c r="IY341" s="2"/>
      <c r="IZ341" s="2"/>
      <c r="JA341" s="2"/>
      <c r="JB341" s="2"/>
      <c r="J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I342" s="209"/>
      <c r="J342" s="210"/>
      <c r="K342" s="209"/>
      <c r="L342" s="209"/>
      <c r="N342" s="2"/>
      <c r="O342" s="2"/>
      <c r="P342" s="2"/>
      <c r="Q342" s="2"/>
      <c r="R342" s="2"/>
      <c r="S342" s="2"/>
      <c r="T342" s="100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IU342" s="2"/>
      <c r="IV342" s="2"/>
      <c r="IW342" s="2"/>
      <c r="IX342" s="2"/>
      <c r="IY342" s="2"/>
      <c r="IZ342" s="2"/>
      <c r="JA342" s="2"/>
      <c r="JB342" s="2"/>
      <c r="J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I343" s="5"/>
      <c r="J343" s="211"/>
      <c r="K343" s="5"/>
      <c r="L343" s="5"/>
      <c r="N343" s="2"/>
      <c r="O343" s="2"/>
      <c r="P343" s="2"/>
      <c r="Q343" s="2"/>
      <c r="R343" s="2"/>
      <c r="S343" s="2"/>
      <c r="T343" s="7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IU343" s="2"/>
      <c r="IV343" s="2"/>
      <c r="IW343" s="2"/>
      <c r="IX343" s="2"/>
      <c r="IY343" s="2"/>
      <c r="IZ343" s="2"/>
      <c r="JA343" s="2"/>
      <c r="JB343" s="2"/>
      <c r="J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I344" s="209"/>
      <c r="J344" s="210"/>
      <c r="K344" s="209"/>
      <c r="L344" s="209"/>
      <c r="N344" s="2"/>
      <c r="O344" s="2"/>
      <c r="P344" s="2"/>
      <c r="Q344" s="2"/>
      <c r="R344" s="2"/>
      <c r="S344" s="2"/>
      <c r="T344" s="100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IU344" s="2"/>
      <c r="IV344" s="2"/>
      <c r="IW344" s="2"/>
      <c r="IX344" s="2"/>
      <c r="IY344" s="2"/>
      <c r="IZ344" s="2"/>
      <c r="JA344" s="2"/>
      <c r="JB344" s="2"/>
      <c r="J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I345" s="5"/>
      <c r="J345" s="211"/>
      <c r="K345" s="5"/>
      <c r="L345" s="5"/>
      <c r="N345" s="2"/>
      <c r="O345" s="2"/>
      <c r="P345" s="2"/>
      <c r="Q345" s="2"/>
      <c r="R345" s="2"/>
      <c r="S345" s="2"/>
      <c r="T345" s="7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IU345" s="2"/>
      <c r="IV345" s="2"/>
      <c r="IW345" s="2"/>
      <c r="IX345" s="2"/>
      <c r="IY345" s="2"/>
      <c r="IZ345" s="2"/>
      <c r="JA345" s="2"/>
      <c r="JB345" s="2"/>
      <c r="J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I346" s="209"/>
      <c r="J346" s="210"/>
      <c r="K346" s="209"/>
      <c r="L346" s="209"/>
      <c r="N346" s="2"/>
      <c r="O346" s="2"/>
      <c r="P346" s="2"/>
      <c r="Q346" s="2"/>
      <c r="R346" s="2"/>
      <c r="S346" s="2"/>
      <c r="T346" s="100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IU346" s="2"/>
      <c r="IV346" s="2"/>
      <c r="IW346" s="2"/>
      <c r="IX346" s="2"/>
      <c r="IY346" s="2"/>
      <c r="IZ346" s="2"/>
      <c r="JA346" s="2"/>
      <c r="JB346" s="2"/>
      <c r="J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I347" s="5"/>
      <c r="J347" s="211"/>
      <c r="K347" s="5"/>
      <c r="L347" s="5"/>
      <c r="N347" s="2"/>
      <c r="O347" s="2"/>
      <c r="P347" s="2"/>
      <c r="Q347" s="2"/>
      <c r="R347" s="2"/>
      <c r="S347" s="2"/>
      <c r="T347" s="7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IU347" s="2"/>
      <c r="IV347" s="2"/>
      <c r="IW347" s="2"/>
      <c r="IX347" s="2"/>
      <c r="IY347" s="2"/>
      <c r="IZ347" s="2"/>
      <c r="JA347" s="2"/>
      <c r="JB347" s="2"/>
      <c r="J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I348" s="209"/>
      <c r="J348" s="210"/>
      <c r="K348" s="209"/>
      <c r="L348" s="209"/>
      <c r="N348" s="2"/>
      <c r="O348" s="2"/>
      <c r="P348" s="2"/>
      <c r="Q348" s="2"/>
      <c r="R348" s="2"/>
      <c r="S348" s="2"/>
      <c r="T348" s="100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IU348" s="2"/>
      <c r="IV348" s="2"/>
      <c r="IW348" s="2"/>
      <c r="IX348" s="2"/>
      <c r="IY348" s="2"/>
      <c r="IZ348" s="2"/>
      <c r="JA348" s="2"/>
      <c r="JB348" s="2"/>
      <c r="J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I349" s="5"/>
      <c r="J349" s="211"/>
      <c r="K349" s="5"/>
      <c r="L349" s="5"/>
      <c r="N349" s="2"/>
      <c r="O349" s="2"/>
      <c r="P349" s="2"/>
      <c r="Q349" s="2"/>
      <c r="R349" s="2"/>
      <c r="S349" s="2"/>
      <c r="T349" s="7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IU349" s="2"/>
      <c r="IV349" s="2"/>
      <c r="IW349" s="2"/>
      <c r="IX349" s="2"/>
      <c r="IY349" s="2"/>
      <c r="IZ349" s="2"/>
      <c r="JA349" s="2"/>
      <c r="JB349" s="2"/>
      <c r="J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I350" s="209"/>
      <c r="J350" s="210"/>
      <c r="K350" s="209"/>
      <c r="L350" s="209"/>
      <c r="N350" s="2"/>
      <c r="O350" s="2"/>
      <c r="P350" s="2"/>
      <c r="Q350" s="2"/>
      <c r="R350" s="2"/>
      <c r="S350" s="2"/>
      <c r="T350" s="100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IU350" s="2"/>
      <c r="IV350" s="2"/>
      <c r="IW350" s="2"/>
      <c r="IX350" s="2"/>
      <c r="IY350" s="2"/>
      <c r="IZ350" s="2"/>
      <c r="JA350" s="2"/>
      <c r="JB350" s="2"/>
      <c r="J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I351" s="5"/>
      <c r="J351" s="211"/>
      <c r="K351" s="5"/>
      <c r="L351" s="5"/>
      <c r="N351" s="2"/>
      <c r="O351" s="2"/>
      <c r="P351" s="2"/>
      <c r="Q351" s="2"/>
      <c r="R351" s="2"/>
      <c r="S351" s="2"/>
      <c r="T351" s="7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IU351" s="2"/>
      <c r="IV351" s="2"/>
      <c r="IW351" s="2"/>
      <c r="IX351" s="2"/>
      <c r="IY351" s="2"/>
      <c r="IZ351" s="2"/>
      <c r="JA351" s="2"/>
      <c r="JB351" s="2"/>
      <c r="J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I352" s="209"/>
      <c r="J352" s="210"/>
      <c r="K352" s="209"/>
      <c r="L352" s="209"/>
      <c r="N352" s="2"/>
      <c r="O352" s="2"/>
      <c r="P352" s="2"/>
      <c r="Q352" s="2"/>
      <c r="R352" s="2"/>
      <c r="S352" s="2"/>
      <c r="T352" s="3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IU352" s="2"/>
      <c r="IV352" s="2"/>
      <c r="IW352" s="2"/>
      <c r="IX352" s="2"/>
      <c r="IY352" s="2"/>
      <c r="IZ352" s="2"/>
      <c r="JA352" s="2"/>
      <c r="JB352" s="2"/>
      <c r="J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I353" s="5"/>
      <c r="J353" s="211"/>
      <c r="K353" s="5"/>
      <c r="L353" s="5"/>
      <c r="N353" s="2"/>
      <c r="O353" s="2"/>
      <c r="P353" s="2"/>
      <c r="Q353" s="2"/>
      <c r="R353" s="2"/>
      <c r="S353" s="2"/>
      <c r="T353" s="10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IU353" s="2"/>
      <c r="IV353" s="2"/>
      <c r="IW353" s="2"/>
      <c r="IX353" s="2"/>
      <c r="IY353" s="2"/>
      <c r="IZ353" s="2"/>
      <c r="JA353" s="2"/>
      <c r="JB353" s="2"/>
      <c r="J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I354" s="209"/>
      <c r="J354" s="210"/>
      <c r="K354" s="209"/>
      <c r="L354" s="209"/>
      <c r="N354" s="2"/>
      <c r="O354" s="2"/>
      <c r="P354" s="2"/>
      <c r="Q354" s="2"/>
      <c r="R354" s="2"/>
      <c r="S354" s="2"/>
      <c r="T354" s="10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IU354" s="2"/>
      <c r="IV354" s="2"/>
      <c r="IW354" s="2"/>
      <c r="IX354" s="2"/>
      <c r="IY354" s="2"/>
      <c r="IZ354" s="2"/>
      <c r="JA354" s="2"/>
      <c r="JB354" s="2"/>
      <c r="J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I355" s="5"/>
      <c r="J355" s="211"/>
      <c r="K355" s="5"/>
      <c r="L355" s="5"/>
      <c r="N355" s="2"/>
      <c r="O355" s="2"/>
      <c r="P355" s="2"/>
      <c r="Q355" s="2"/>
      <c r="R355" s="2"/>
      <c r="S355" s="2"/>
      <c r="T355" s="10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IU355" s="2"/>
      <c r="IV355" s="2"/>
      <c r="IW355" s="2"/>
      <c r="IX355" s="2"/>
      <c r="IY355" s="2"/>
      <c r="IZ355" s="2"/>
      <c r="JA355" s="2"/>
      <c r="JB355" s="2"/>
      <c r="J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I356" s="209"/>
      <c r="J356" s="210"/>
      <c r="K356" s="209"/>
      <c r="L356" s="209"/>
      <c r="N356" s="2"/>
      <c r="O356" s="2"/>
      <c r="P356" s="2"/>
      <c r="Q356" s="2"/>
      <c r="R356" s="2"/>
      <c r="S356" s="2"/>
      <c r="T356" s="10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IU356" s="2"/>
      <c r="IV356" s="2"/>
      <c r="IW356" s="2"/>
      <c r="IX356" s="2"/>
      <c r="IY356" s="2"/>
      <c r="IZ356" s="2"/>
      <c r="JA356" s="2"/>
      <c r="JB356" s="2"/>
      <c r="J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I357" s="5"/>
      <c r="J357" s="211"/>
      <c r="K357" s="5"/>
      <c r="L357" s="5"/>
      <c r="N357" s="2"/>
      <c r="O357" s="2"/>
      <c r="P357" s="2"/>
      <c r="Q357" s="2"/>
      <c r="R357" s="2"/>
      <c r="S357" s="2"/>
      <c r="T357" s="7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IU357" s="2"/>
      <c r="IV357" s="2"/>
      <c r="IW357" s="2"/>
      <c r="IX357" s="2"/>
      <c r="IY357" s="2"/>
      <c r="IZ357" s="2"/>
      <c r="JA357" s="2"/>
      <c r="JB357" s="2"/>
      <c r="J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I358" s="209"/>
      <c r="J358" s="210"/>
      <c r="K358" s="209"/>
      <c r="L358" s="209"/>
      <c r="N358" s="2"/>
      <c r="O358" s="2"/>
      <c r="P358" s="2"/>
      <c r="Q358" s="2"/>
      <c r="R358" s="2"/>
      <c r="S358" s="2"/>
      <c r="T358" s="100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IU358" s="2"/>
      <c r="IV358" s="2"/>
      <c r="IW358" s="2"/>
      <c r="IX358" s="2"/>
      <c r="IY358" s="2"/>
      <c r="IZ358" s="2"/>
      <c r="JA358" s="2"/>
      <c r="JB358" s="2"/>
      <c r="J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I359" s="5"/>
      <c r="J359" s="211"/>
      <c r="K359" s="5"/>
      <c r="L359" s="5"/>
      <c r="N359" s="2"/>
      <c r="O359" s="2"/>
      <c r="P359" s="2"/>
      <c r="Q359" s="2"/>
      <c r="R359" s="2"/>
      <c r="S359" s="2"/>
      <c r="T359" s="7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IU359" s="2"/>
      <c r="IV359" s="2"/>
      <c r="IW359" s="2"/>
      <c r="IX359" s="2"/>
      <c r="IY359" s="2"/>
      <c r="IZ359" s="2"/>
      <c r="JA359" s="2"/>
      <c r="JB359" s="2"/>
      <c r="J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I360" s="209"/>
      <c r="J360" s="210"/>
      <c r="K360" s="209"/>
      <c r="L360" s="209"/>
      <c r="N360" s="2"/>
      <c r="O360" s="2"/>
      <c r="P360" s="2"/>
      <c r="Q360" s="2"/>
      <c r="R360" s="2"/>
      <c r="S360" s="2"/>
      <c r="T360" s="100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IU360" s="2"/>
      <c r="IV360" s="2"/>
      <c r="IW360" s="2"/>
      <c r="IX360" s="2"/>
      <c r="IY360" s="2"/>
      <c r="IZ360" s="2"/>
      <c r="JA360" s="2"/>
      <c r="JB360" s="2"/>
      <c r="J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I361" s="5"/>
      <c r="J361" s="211"/>
      <c r="K361" s="5"/>
      <c r="L361" s="5"/>
      <c r="N361" s="2"/>
      <c r="O361" s="2"/>
      <c r="P361" s="2"/>
      <c r="Q361" s="2"/>
      <c r="R361" s="2"/>
      <c r="S361" s="2"/>
      <c r="T361" s="7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IU361" s="2"/>
      <c r="IV361" s="2"/>
      <c r="IW361" s="2"/>
      <c r="IX361" s="2"/>
      <c r="IY361" s="2"/>
      <c r="IZ361" s="2"/>
      <c r="JA361" s="2"/>
      <c r="JB361" s="2"/>
      <c r="J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I362" s="209"/>
      <c r="J362" s="210"/>
      <c r="K362" s="209"/>
      <c r="L362" s="209"/>
      <c r="N362" s="2"/>
      <c r="O362" s="2"/>
      <c r="P362" s="2"/>
      <c r="Q362" s="2"/>
      <c r="R362" s="2"/>
      <c r="S362" s="2"/>
      <c r="T362" s="100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IU362" s="2"/>
      <c r="IV362" s="2"/>
      <c r="IW362" s="2"/>
      <c r="IX362" s="2"/>
      <c r="IY362" s="2"/>
      <c r="IZ362" s="2"/>
      <c r="JA362" s="2"/>
      <c r="JB362" s="2"/>
      <c r="J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I363" s="5"/>
      <c r="J363" s="211"/>
      <c r="K363" s="5"/>
      <c r="L363" s="5"/>
      <c r="N363" s="2"/>
      <c r="O363" s="2"/>
      <c r="P363" s="2"/>
      <c r="Q363" s="2"/>
      <c r="R363" s="2"/>
      <c r="S363" s="2"/>
      <c r="T363" s="7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IU363" s="2"/>
      <c r="IV363" s="2"/>
      <c r="IW363" s="2"/>
      <c r="IX363" s="2"/>
      <c r="IY363" s="2"/>
      <c r="IZ363" s="2"/>
      <c r="JA363" s="2"/>
      <c r="JB363" s="2"/>
      <c r="J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I364" s="209"/>
      <c r="J364" s="210"/>
      <c r="K364" s="209"/>
      <c r="L364" s="209"/>
      <c r="N364" s="2"/>
      <c r="O364" s="2"/>
      <c r="P364" s="2"/>
      <c r="Q364" s="2"/>
      <c r="R364" s="2"/>
      <c r="S364" s="2"/>
      <c r="T364" s="100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IU364" s="2"/>
      <c r="IV364" s="2"/>
      <c r="IW364" s="2"/>
      <c r="IX364" s="2"/>
      <c r="IY364" s="2"/>
      <c r="IZ364" s="2"/>
      <c r="JA364" s="2"/>
      <c r="JB364" s="2"/>
      <c r="J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I365" s="5"/>
      <c r="J365" s="211"/>
      <c r="K365" s="5"/>
      <c r="L365" s="5"/>
      <c r="N365" s="2"/>
      <c r="O365" s="2"/>
      <c r="P365" s="2"/>
      <c r="Q365" s="2"/>
      <c r="R365" s="2"/>
      <c r="S365" s="2"/>
      <c r="T365" s="7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IU365" s="2"/>
      <c r="IV365" s="2"/>
      <c r="IW365" s="2"/>
      <c r="IX365" s="2"/>
      <c r="IY365" s="2"/>
      <c r="IZ365" s="2"/>
      <c r="JA365" s="2"/>
      <c r="JB365" s="2"/>
      <c r="J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I366" s="209"/>
      <c r="J366" s="210"/>
      <c r="K366" s="209"/>
      <c r="L366" s="209"/>
      <c r="N366" s="2"/>
      <c r="O366" s="2"/>
      <c r="P366" s="2"/>
      <c r="Q366" s="2"/>
      <c r="R366" s="2"/>
      <c r="S366" s="2"/>
      <c r="T366" s="100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IU366" s="2"/>
      <c r="IV366" s="2"/>
      <c r="IW366" s="2"/>
      <c r="IX366" s="2"/>
      <c r="IY366" s="2"/>
      <c r="IZ366" s="2"/>
      <c r="JA366" s="2"/>
      <c r="JB366" s="2"/>
      <c r="J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I367" s="5"/>
      <c r="J367" s="211"/>
      <c r="K367" s="5"/>
      <c r="L367" s="5"/>
      <c r="N367" s="2"/>
      <c r="O367" s="2"/>
      <c r="P367" s="2"/>
      <c r="Q367" s="2"/>
      <c r="R367" s="2"/>
      <c r="S367" s="2"/>
      <c r="T367" s="7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IU367" s="2"/>
      <c r="IV367" s="2"/>
      <c r="IW367" s="2"/>
      <c r="IX367" s="2"/>
      <c r="IY367" s="2"/>
      <c r="IZ367" s="2"/>
      <c r="JA367" s="2"/>
      <c r="JB367" s="2"/>
      <c r="J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I368" s="209"/>
      <c r="J368" s="210"/>
      <c r="K368" s="209"/>
      <c r="L368" s="209"/>
      <c r="N368" s="2"/>
      <c r="O368" s="2"/>
      <c r="P368" s="2"/>
      <c r="Q368" s="2"/>
      <c r="R368" s="2"/>
      <c r="S368" s="2"/>
      <c r="T368" s="3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IU368" s="2"/>
      <c r="IV368" s="2"/>
      <c r="IW368" s="2"/>
      <c r="IX368" s="2"/>
      <c r="IY368" s="2"/>
      <c r="IZ368" s="2"/>
      <c r="JA368" s="2"/>
      <c r="JB368" s="2"/>
      <c r="J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I369" s="5"/>
      <c r="J369" s="211"/>
      <c r="K369" s="5"/>
      <c r="L369" s="5"/>
      <c r="N369" s="2"/>
      <c r="O369" s="2"/>
      <c r="P369" s="2"/>
      <c r="Q369" s="2"/>
      <c r="R369" s="2"/>
      <c r="S369" s="2"/>
      <c r="T369" s="10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IU369" s="2"/>
      <c r="IV369" s="2"/>
      <c r="IW369" s="2"/>
      <c r="IX369" s="2"/>
      <c r="IY369" s="2"/>
      <c r="IZ369" s="2"/>
      <c r="JA369" s="2"/>
      <c r="JB369" s="2"/>
      <c r="J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I370" s="209"/>
      <c r="J370" s="210"/>
      <c r="K370" s="209"/>
      <c r="L370" s="209"/>
      <c r="N370" s="2"/>
      <c r="O370" s="2"/>
      <c r="P370" s="2"/>
      <c r="Q370" s="2"/>
      <c r="R370" s="2"/>
      <c r="S370" s="2"/>
      <c r="T370" s="10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IU370" s="2"/>
      <c r="IV370" s="2"/>
      <c r="IW370" s="2"/>
      <c r="IX370" s="2"/>
      <c r="IY370" s="2"/>
      <c r="IZ370" s="2"/>
      <c r="JA370" s="2"/>
      <c r="JB370" s="2"/>
      <c r="J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I371" s="5"/>
      <c r="J371" s="211"/>
      <c r="K371" s="5"/>
      <c r="L371" s="5"/>
      <c r="N371" s="2"/>
      <c r="O371" s="2"/>
      <c r="P371" s="2"/>
      <c r="Q371" s="2"/>
      <c r="R371" s="2"/>
      <c r="S371" s="2"/>
      <c r="T371" s="10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IU371" s="2"/>
      <c r="IV371" s="2"/>
      <c r="IW371" s="2"/>
      <c r="IX371" s="2"/>
      <c r="IY371" s="2"/>
      <c r="IZ371" s="2"/>
      <c r="JA371" s="2"/>
      <c r="JB371" s="2"/>
      <c r="J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I372" s="209"/>
      <c r="J372" s="210"/>
      <c r="K372" s="209"/>
      <c r="L372" s="209"/>
      <c r="N372" s="2"/>
      <c r="O372" s="2"/>
      <c r="P372" s="2"/>
      <c r="Q372" s="2"/>
      <c r="R372" s="2"/>
      <c r="S372" s="2"/>
      <c r="T372" s="10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IU372" s="2"/>
      <c r="IV372" s="2"/>
      <c r="IW372" s="2"/>
      <c r="IX372" s="2"/>
      <c r="IY372" s="2"/>
      <c r="IZ372" s="2"/>
      <c r="JA372" s="2"/>
      <c r="JB372" s="2"/>
      <c r="J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I373" s="5"/>
      <c r="J373" s="211"/>
      <c r="K373" s="5"/>
      <c r="L373" s="5"/>
      <c r="N373" s="2"/>
      <c r="O373" s="2"/>
      <c r="P373" s="2"/>
      <c r="Q373" s="2"/>
      <c r="R373" s="2"/>
      <c r="S373" s="2"/>
      <c r="T373" s="7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IU373" s="2"/>
      <c r="IV373" s="2"/>
      <c r="IW373" s="2"/>
      <c r="IX373" s="2"/>
      <c r="IY373" s="2"/>
      <c r="IZ373" s="2"/>
      <c r="JA373" s="2"/>
      <c r="JB373" s="2"/>
      <c r="J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I374" s="209"/>
      <c r="J374" s="210"/>
      <c r="K374" s="209"/>
      <c r="L374" s="209"/>
      <c r="N374" s="2"/>
      <c r="O374" s="2"/>
      <c r="P374" s="2"/>
      <c r="Q374" s="2"/>
      <c r="R374" s="2"/>
      <c r="S374" s="2"/>
      <c r="T374" s="100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IU374" s="2"/>
      <c r="IV374" s="2"/>
      <c r="IW374" s="2"/>
      <c r="IX374" s="2"/>
      <c r="IY374" s="2"/>
      <c r="IZ374" s="2"/>
      <c r="JA374" s="2"/>
      <c r="JB374" s="2"/>
      <c r="J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I375" s="5"/>
      <c r="J375" s="211"/>
      <c r="K375" s="5"/>
      <c r="L375" s="5"/>
      <c r="N375" s="2"/>
      <c r="O375" s="2"/>
      <c r="P375" s="2"/>
      <c r="Q375" s="2"/>
      <c r="R375" s="2"/>
      <c r="S375" s="2"/>
      <c r="T375" s="7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IU375" s="2"/>
      <c r="IV375" s="2"/>
      <c r="IW375" s="2"/>
      <c r="IX375" s="2"/>
      <c r="IY375" s="2"/>
      <c r="IZ375" s="2"/>
      <c r="JA375" s="2"/>
      <c r="JB375" s="2"/>
      <c r="J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I376" s="209"/>
      <c r="J376" s="210"/>
      <c r="K376" s="209"/>
      <c r="L376" s="209"/>
      <c r="N376" s="2"/>
      <c r="O376" s="2"/>
      <c r="P376" s="2"/>
      <c r="Q376" s="2"/>
      <c r="R376" s="2"/>
      <c r="S376" s="2"/>
      <c r="T376" s="100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IU376" s="2"/>
      <c r="IV376" s="2"/>
      <c r="IW376" s="2"/>
      <c r="IX376" s="2"/>
      <c r="IY376" s="2"/>
      <c r="IZ376" s="2"/>
      <c r="JA376" s="2"/>
      <c r="JB376" s="2"/>
      <c r="J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I377" s="5"/>
      <c r="J377" s="211"/>
      <c r="K377" s="5"/>
      <c r="L377" s="5"/>
      <c r="N377" s="2"/>
      <c r="O377" s="2"/>
      <c r="P377" s="2"/>
      <c r="Q377" s="2"/>
      <c r="R377" s="2"/>
      <c r="S377" s="2"/>
      <c r="T377" s="7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IU377" s="2"/>
      <c r="IV377" s="2"/>
      <c r="IW377" s="2"/>
      <c r="IX377" s="2"/>
      <c r="IY377" s="2"/>
      <c r="IZ377" s="2"/>
      <c r="JA377" s="2"/>
      <c r="JB377" s="2"/>
      <c r="J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I378" s="209"/>
      <c r="J378" s="210"/>
      <c r="K378" s="209"/>
      <c r="L378" s="209"/>
      <c r="N378" s="2"/>
      <c r="O378" s="2"/>
      <c r="P378" s="2"/>
      <c r="Q378" s="2"/>
      <c r="R378" s="2"/>
      <c r="S378" s="2"/>
      <c r="T378" s="100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IU378" s="2"/>
      <c r="IV378" s="2"/>
      <c r="IW378" s="2"/>
      <c r="IX378" s="2"/>
      <c r="IY378" s="2"/>
      <c r="IZ378" s="2"/>
      <c r="JA378" s="2"/>
      <c r="JB378" s="2"/>
      <c r="J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I379" s="5"/>
      <c r="J379" s="211"/>
      <c r="K379" s="5"/>
      <c r="L379" s="5"/>
      <c r="N379" s="2"/>
      <c r="O379" s="2"/>
      <c r="P379" s="2"/>
      <c r="Q379" s="2"/>
      <c r="R379" s="2"/>
      <c r="S379" s="2"/>
      <c r="T379" s="7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IU379" s="2"/>
      <c r="IV379" s="2"/>
      <c r="IW379" s="2"/>
      <c r="IX379" s="2"/>
      <c r="IY379" s="2"/>
      <c r="IZ379" s="2"/>
      <c r="JA379" s="2"/>
      <c r="JB379" s="2"/>
      <c r="J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I380" s="209"/>
      <c r="J380" s="210"/>
      <c r="K380" s="209"/>
      <c r="L380" s="209"/>
      <c r="N380" s="2"/>
      <c r="O380" s="2"/>
      <c r="P380" s="2"/>
      <c r="Q380" s="2"/>
      <c r="R380" s="2"/>
      <c r="S380" s="2"/>
      <c r="T380" s="100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IU380" s="2"/>
      <c r="IV380" s="2"/>
      <c r="IW380" s="2"/>
      <c r="IX380" s="2"/>
      <c r="IY380" s="2"/>
      <c r="IZ380" s="2"/>
      <c r="JA380" s="2"/>
      <c r="JB380" s="2"/>
      <c r="J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I381" s="5"/>
      <c r="J381" s="211"/>
      <c r="K381" s="5"/>
      <c r="L381" s="5"/>
      <c r="N381" s="2"/>
      <c r="O381" s="2"/>
      <c r="P381" s="2"/>
      <c r="Q381" s="2"/>
      <c r="R381" s="2"/>
      <c r="S381" s="2"/>
      <c r="T381" s="7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IU381" s="2"/>
      <c r="IV381" s="2"/>
      <c r="IW381" s="2"/>
      <c r="IX381" s="2"/>
      <c r="IY381" s="2"/>
      <c r="IZ381" s="2"/>
      <c r="JA381" s="2"/>
      <c r="JB381" s="2"/>
      <c r="J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I382" s="209"/>
      <c r="J382" s="210"/>
      <c r="K382" s="209"/>
      <c r="L382" s="209"/>
      <c r="N382" s="2"/>
      <c r="O382" s="2"/>
      <c r="P382" s="2"/>
      <c r="Q382" s="2"/>
      <c r="R382" s="2"/>
      <c r="S382" s="2"/>
      <c r="T382" s="100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IU382" s="2"/>
      <c r="IV382" s="2"/>
      <c r="IW382" s="2"/>
      <c r="IX382" s="2"/>
      <c r="IY382" s="2"/>
      <c r="IZ382" s="2"/>
      <c r="JA382" s="2"/>
      <c r="JB382" s="2"/>
      <c r="J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I383" s="5"/>
      <c r="J383" s="211"/>
      <c r="K383" s="5"/>
      <c r="L383" s="5"/>
      <c r="N383" s="2"/>
      <c r="O383" s="2"/>
      <c r="P383" s="2"/>
      <c r="Q383" s="2"/>
      <c r="R383" s="2"/>
      <c r="S383" s="2"/>
      <c r="T383" s="7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IU383" s="2"/>
      <c r="IV383" s="2"/>
      <c r="IW383" s="2"/>
      <c r="IX383" s="2"/>
      <c r="IY383" s="2"/>
      <c r="IZ383" s="2"/>
      <c r="JA383" s="2"/>
      <c r="JB383" s="2"/>
      <c r="J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I384" s="209"/>
      <c r="J384" s="210"/>
      <c r="K384" s="209"/>
      <c r="L384" s="209"/>
      <c r="N384" s="2"/>
      <c r="O384" s="2"/>
      <c r="P384" s="2"/>
      <c r="Q384" s="2"/>
      <c r="R384" s="2"/>
      <c r="S384" s="2"/>
      <c r="T384" s="3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IU384" s="2"/>
      <c r="IV384" s="2"/>
      <c r="IW384" s="2"/>
      <c r="IX384" s="2"/>
      <c r="IY384" s="2"/>
      <c r="IZ384" s="2"/>
      <c r="JA384" s="2"/>
      <c r="JB384" s="2"/>
      <c r="J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I385" s="5"/>
      <c r="J385" s="211"/>
      <c r="K385" s="5"/>
      <c r="L385" s="5"/>
      <c r="N385" s="2"/>
      <c r="O385" s="2"/>
      <c r="P385" s="2"/>
      <c r="Q385" s="2"/>
      <c r="R385" s="2"/>
      <c r="S385" s="2"/>
      <c r="T385" s="10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IU385" s="2"/>
      <c r="IV385" s="2"/>
      <c r="IW385" s="2"/>
      <c r="IX385" s="2"/>
      <c r="IY385" s="2"/>
      <c r="IZ385" s="2"/>
      <c r="JA385" s="2"/>
      <c r="JB385" s="2"/>
      <c r="J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I386" s="209"/>
      <c r="J386" s="210"/>
      <c r="K386" s="209"/>
      <c r="L386" s="209"/>
      <c r="N386" s="2"/>
      <c r="O386" s="2"/>
      <c r="P386" s="2"/>
      <c r="Q386" s="2"/>
      <c r="R386" s="2"/>
      <c r="S386" s="2"/>
      <c r="T386" s="10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IU386" s="2"/>
      <c r="IV386" s="2"/>
      <c r="IW386" s="2"/>
      <c r="IX386" s="2"/>
      <c r="IY386" s="2"/>
      <c r="IZ386" s="2"/>
      <c r="JA386" s="2"/>
      <c r="JB386" s="2"/>
      <c r="J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I387" s="5"/>
      <c r="J387" s="211"/>
      <c r="K387" s="5"/>
      <c r="L387" s="5"/>
      <c r="N387" s="2"/>
      <c r="O387" s="2"/>
      <c r="P387" s="2"/>
      <c r="Q387" s="2"/>
      <c r="R387" s="2"/>
      <c r="S387" s="2"/>
      <c r="T387" s="10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IU387" s="2"/>
      <c r="IV387" s="2"/>
      <c r="IW387" s="2"/>
      <c r="IX387" s="2"/>
      <c r="IY387" s="2"/>
      <c r="IZ387" s="2"/>
      <c r="JA387" s="2"/>
      <c r="JB387" s="2"/>
      <c r="J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I388" s="209"/>
      <c r="J388" s="210"/>
      <c r="K388" s="209"/>
      <c r="L388" s="209"/>
      <c r="N388" s="2"/>
      <c r="O388" s="2"/>
      <c r="P388" s="2"/>
      <c r="Q388" s="2"/>
      <c r="R388" s="2"/>
      <c r="S388" s="2"/>
      <c r="T388" s="10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IU388" s="2"/>
      <c r="IV388" s="2"/>
      <c r="IW388" s="2"/>
      <c r="IX388" s="2"/>
      <c r="IY388" s="2"/>
      <c r="IZ388" s="2"/>
      <c r="JA388" s="2"/>
      <c r="JB388" s="2"/>
      <c r="J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I389" s="5"/>
      <c r="J389" s="211"/>
      <c r="K389" s="5"/>
      <c r="L389" s="5"/>
      <c r="N389" s="2"/>
      <c r="O389" s="2"/>
      <c r="P389" s="2"/>
      <c r="Q389" s="2"/>
      <c r="R389" s="2"/>
      <c r="S389" s="2"/>
      <c r="T389" s="7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IU389" s="2"/>
      <c r="IV389" s="2"/>
      <c r="IW389" s="2"/>
      <c r="IX389" s="2"/>
      <c r="IY389" s="2"/>
      <c r="IZ389" s="2"/>
      <c r="JA389" s="2"/>
      <c r="JB389" s="2"/>
      <c r="J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I390" s="209"/>
      <c r="J390" s="210"/>
      <c r="K390" s="209"/>
      <c r="L390" s="209"/>
      <c r="N390" s="2"/>
      <c r="O390" s="2"/>
      <c r="P390" s="2"/>
      <c r="Q390" s="2"/>
      <c r="R390" s="2"/>
      <c r="S390" s="2"/>
      <c r="T390" s="100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IU390" s="2"/>
      <c r="IV390" s="2"/>
      <c r="IW390" s="2"/>
      <c r="IX390" s="2"/>
      <c r="IY390" s="2"/>
      <c r="IZ390" s="2"/>
      <c r="JA390" s="2"/>
      <c r="JB390" s="2"/>
      <c r="J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I391" s="5"/>
      <c r="J391" s="211"/>
      <c r="K391" s="5"/>
      <c r="L391" s="5"/>
      <c r="N391" s="2"/>
      <c r="O391" s="2"/>
      <c r="P391" s="2"/>
      <c r="Q391" s="2"/>
      <c r="R391" s="2"/>
      <c r="S391" s="2"/>
      <c r="T391" s="7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IU391" s="2"/>
      <c r="IV391" s="2"/>
      <c r="IW391" s="2"/>
      <c r="IX391" s="2"/>
      <c r="IY391" s="2"/>
      <c r="IZ391" s="2"/>
      <c r="JA391" s="2"/>
      <c r="JB391" s="2"/>
      <c r="J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I392" s="209"/>
      <c r="J392" s="210"/>
      <c r="K392" s="209"/>
      <c r="L392" s="209"/>
      <c r="N392" s="2"/>
      <c r="O392" s="2"/>
      <c r="P392" s="2"/>
      <c r="Q392" s="2"/>
      <c r="R392" s="2"/>
      <c r="S392" s="2"/>
      <c r="T392" s="100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IU392" s="2"/>
      <c r="IV392" s="2"/>
      <c r="IW392" s="2"/>
      <c r="IX392" s="2"/>
      <c r="IY392" s="2"/>
      <c r="IZ392" s="2"/>
      <c r="JA392" s="2"/>
      <c r="JB392" s="2"/>
      <c r="J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I393" s="5"/>
      <c r="J393" s="211"/>
      <c r="K393" s="5"/>
      <c r="L393" s="5"/>
      <c r="N393" s="2"/>
      <c r="O393" s="2"/>
      <c r="P393" s="2"/>
      <c r="Q393" s="2"/>
      <c r="R393" s="2"/>
      <c r="S393" s="2"/>
      <c r="T393" s="7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IU393" s="2"/>
      <c r="IV393" s="2"/>
      <c r="IW393" s="2"/>
      <c r="IX393" s="2"/>
      <c r="IY393" s="2"/>
      <c r="IZ393" s="2"/>
      <c r="JA393" s="2"/>
      <c r="JB393" s="2"/>
      <c r="J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I394" s="209"/>
      <c r="J394" s="210"/>
      <c r="K394" s="209"/>
      <c r="L394" s="209"/>
      <c r="N394" s="2"/>
      <c r="O394" s="2"/>
      <c r="P394" s="2"/>
      <c r="Q394" s="2"/>
      <c r="R394" s="2"/>
      <c r="S394" s="2"/>
      <c r="T394" s="100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IU394" s="2"/>
      <c r="IV394" s="2"/>
      <c r="IW394" s="2"/>
      <c r="IX394" s="2"/>
      <c r="IY394" s="2"/>
      <c r="IZ394" s="2"/>
      <c r="JA394" s="2"/>
      <c r="JB394" s="2"/>
      <c r="J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I395" s="5"/>
      <c r="J395" s="211"/>
      <c r="K395" s="5"/>
      <c r="L395" s="5"/>
      <c r="N395" s="2"/>
      <c r="O395" s="2"/>
      <c r="P395" s="2"/>
      <c r="Q395" s="2"/>
      <c r="R395" s="2"/>
      <c r="S395" s="2"/>
      <c r="T395" s="7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IU395" s="2"/>
      <c r="IV395" s="2"/>
      <c r="IW395" s="2"/>
      <c r="IX395" s="2"/>
      <c r="IY395" s="2"/>
      <c r="IZ395" s="2"/>
      <c r="JA395" s="2"/>
      <c r="JB395" s="2"/>
      <c r="J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I396" s="209"/>
      <c r="J396" s="210"/>
      <c r="K396" s="209"/>
      <c r="L396" s="209"/>
      <c r="N396" s="2"/>
      <c r="O396" s="2"/>
      <c r="P396" s="2"/>
      <c r="Q396" s="2"/>
      <c r="R396" s="2"/>
      <c r="S396" s="2"/>
      <c r="T396" s="100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IU396" s="2"/>
      <c r="IV396" s="2"/>
      <c r="IW396" s="2"/>
      <c r="IX396" s="2"/>
      <c r="IY396" s="2"/>
      <c r="IZ396" s="2"/>
      <c r="JA396" s="2"/>
      <c r="JB396" s="2"/>
      <c r="J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I397" s="5"/>
      <c r="J397" s="211"/>
      <c r="K397" s="5"/>
      <c r="L397" s="5"/>
      <c r="N397" s="2"/>
      <c r="O397" s="2"/>
      <c r="P397" s="2"/>
      <c r="Q397" s="2"/>
      <c r="R397" s="2"/>
      <c r="S397" s="2"/>
      <c r="T397" s="7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IU397" s="2"/>
      <c r="IV397" s="2"/>
      <c r="IW397" s="2"/>
      <c r="IX397" s="2"/>
      <c r="IY397" s="2"/>
      <c r="IZ397" s="2"/>
      <c r="JA397" s="2"/>
      <c r="JB397" s="2"/>
      <c r="J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I398" s="209"/>
      <c r="J398" s="210"/>
      <c r="K398" s="209"/>
      <c r="L398" s="209"/>
      <c r="N398" s="2"/>
      <c r="O398" s="2"/>
      <c r="P398" s="2"/>
      <c r="Q398" s="2"/>
      <c r="R398" s="2"/>
      <c r="S398" s="2"/>
      <c r="T398" s="100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IU398" s="2"/>
      <c r="IV398" s="2"/>
      <c r="IW398" s="2"/>
      <c r="IX398" s="2"/>
      <c r="IY398" s="2"/>
      <c r="IZ398" s="2"/>
      <c r="JA398" s="2"/>
      <c r="JB398" s="2"/>
      <c r="J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I399" s="5"/>
      <c r="J399" s="211"/>
      <c r="K399" s="5"/>
      <c r="L399" s="5"/>
      <c r="N399" s="2"/>
      <c r="O399" s="2"/>
      <c r="P399" s="2"/>
      <c r="Q399" s="2"/>
      <c r="R399" s="2"/>
      <c r="S399" s="2"/>
      <c r="T399" s="7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IU399" s="2"/>
      <c r="IV399" s="2"/>
      <c r="IW399" s="2"/>
      <c r="IX399" s="2"/>
      <c r="IY399" s="2"/>
      <c r="IZ399" s="2"/>
      <c r="JA399" s="2"/>
      <c r="JB399" s="2"/>
      <c r="J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I400" s="209"/>
      <c r="J400" s="210"/>
      <c r="K400" s="209"/>
      <c r="L400" s="209"/>
      <c r="N400" s="2"/>
      <c r="O400" s="2"/>
      <c r="P400" s="2"/>
      <c r="Q400" s="2"/>
      <c r="R400" s="2"/>
      <c r="S400" s="2"/>
      <c r="T400" s="3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IU400" s="2"/>
      <c r="IV400" s="2"/>
      <c r="IW400" s="2"/>
      <c r="IX400" s="2"/>
      <c r="IY400" s="2"/>
      <c r="IZ400" s="2"/>
      <c r="JA400" s="2"/>
      <c r="JB400" s="2"/>
      <c r="J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I401" s="5"/>
      <c r="J401" s="211"/>
      <c r="K401" s="5"/>
      <c r="L401" s="5"/>
      <c r="N401" s="2"/>
      <c r="O401" s="2"/>
      <c r="P401" s="2"/>
      <c r="Q401" s="2"/>
      <c r="R401" s="2"/>
      <c r="S401" s="2"/>
      <c r="T401" s="10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IU401" s="2"/>
      <c r="IV401" s="2"/>
      <c r="IW401" s="2"/>
      <c r="IX401" s="2"/>
      <c r="IY401" s="2"/>
      <c r="IZ401" s="2"/>
      <c r="JA401" s="2"/>
      <c r="JB401" s="2"/>
      <c r="J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I402" s="209"/>
      <c r="J402" s="210"/>
      <c r="K402" s="209"/>
      <c r="L402" s="209"/>
      <c r="N402" s="2"/>
      <c r="O402" s="2"/>
      <c r="P402" s="2"/>
      <c r="Q402" s="2"/>
      <c r="R402" s="2"/>
      <c r="S402" s="2"/>
      <c r="T402" s="10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IU402" s="2"/>
      <c r="IV402" s="2"/>
      <c r="IW402" s="2"/>
      <c r="IX402" s="2"/>
      <c r="IY402" s="2"/>
      <c r="IZ402" s="2"/>
      <c r="JA402" s="2"/>
      <c r="JB402" s="2"/>
      <c r="J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I403" s="5"/>
      <c r="J403" s="211"/>
      <c r="K403" s="5"/>
      <c r="L403" s="5"/>
      <c r="N403" s="2"/>
      <c r="O403" s="2"/>
      <c r="P403" s="2"/>
      <c r="Q403" s="2"/>
      <c r="R403" s="2"/>
      <c r="S403" s="2"/>
      <c r="T403" s="10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IU403" s="2"/>
      <c r="IV403" s="2"/>
      <c r="IW403" s="2"/>
      <c r="IX403" s="2"/>
      <c r="IY403" s="2"/>
      <c r="IZ403" s="2"/>
      <c r="JA403" s="2"/>
      <c r="JB403" s="2"/>
      <c r="J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I404" s="209"/>
      <c r="J404" s="210"/>
      <c r="K404" s="209"/>
      <c r="L404" s="209"/>
      <c r="N404" s="2"/>
      <c r="O404" s="2"/>
      <c r="P404" s="2"/>
      <c r="Q404" s="2"/>
      <c r="R404" s="2"/>
      <c r="S404" s="2"/>
      <c r="T404" s="10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IU404" s="2"/>
      <c r="IV404" s="2"/>
      <c r="IW404" s="2"/>
      <c r="IX404" s="2"/>
      <c r="IY404" s="2"/>
      <c r="IZ404" s="2"/>
      <c r="JA404" s="2"/>
      <c r="JB404" s="2"/>
      <c r="J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I405" s="5"/>
      <c r="J405" s="211"/>
      <c r="K405" s="5"/>
      <c r="L405" s="5"/>
      <c r="N405" s="2"/>
      <c r="O405" s="2"/>
      <c r="P405" s="2"/>
      <c r="Q405" s="2"/>
      <c r="R405" s="2"/>
      <c r="S405" s="2"/>
      <c r="T405" s="7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IU405" s="2"/>
      <c r="IV405" s="2"/>
      <c r="IW405" s="2"/>
      <c r="IX405" s="2"/>
      <c r="IY405" s="2"/>
      <c r="IZ405" s="2"/>
      <c r="JA405" s="2"/>
      <c r="JB405" s="2"/>
      <c r="J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I406" s="209"/>
      <c r="J406" s="210"/>
      <c r="K406" s="209"/>
      <c r="L406" s="209"/>
      <c r="N406" s="2"/>
      <c r="O406" s="2"/>
      <c r="P406" s="2"/>
      <c r="Q406" s="2"/>
      <c r="R406" s="2"/>
      <c r="S406" s="2"/>
      <c r="T406" s="100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IU406" s="2"/>
      <c r="IV406" s="2"/>
      <c r="IW406" s="2"/>
      <c r="IX406" s="2"/>
      <c r="IY406" s="2"/>
      <c r="IZ406" s="2"/>
      <c r="JA406" s="2"/>
      <c r="JB406" s="2"/>
      <c r="J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I407" s="5"/>
      <c r="J407" s="211"/>
      <c r="K407" s="5"/>
      <c r="L407" s="5"/>
      <c r="N407" s="2"/>
      <c r="O407" s="2"/>
      <c r="P407" s="2"/>
      <c r="Q407" s="2"/>
      <c r="R407" s="2"/>
      <c r="S407" s="2"/>
      <c r="T407" s="7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IU407" s="2"/>
      <c r="IV407" s="2"/>
      <c r="IW407" s="2"/>
      <c r="IX407" s="2"/>
      <c r="IY407" s="2"/>
      <c r="IZ407" s="2"/>
      <c r="JA407" s="2"/>
      <c r="JB407" s="2"/>
      <c r="J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I408" s="209"/>
      <c r="J408" s="210"/>
      <c r="K408" s="209"/>
      <c r="L408" s="209"/>
      <c r="N408" s="2"/>
      <c r="O408" s="2"/>
      <c r="P408" s="2"/>
      <c r="Q408" s="2"/>
      <c r="R408" s="2"/>
      <c r="S408" s="2"/>
      <c r="T408" s="100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IU408" s="2"/>
      <c r="IV408" s="2"/>
      <c r="IW408" s="2"/>
      <c r="IX408" s="2"/>
      <c r="IY408" s="2"/>
      <c r="IZ408" s="2"/>
      <c r="JA408" s="2"/>
      <c r="JB408" s="2"/>
      <c r="J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I409" s="5"/>
      <c r="J409" s="211"/>
      <c r="K409" s="5"/>
      <c r="L409" s="5"/>
      <c r="N409" s="2"/>
      <c r="O409" s="2"/>
      <c r="P409" s="2"/>
      <c r="Q409" s="2"/>
      <c r="R409" s="2"/>
      <c r="S409" s="2"/>
      <c r="T409" s="7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IU409" s="2"/>
      <c r="IV409" s="2"/>
      <c r="IW409" s="2"/>
      <c r="IX409" s="2"/>
      <c r="IY409" s="2"/>
      <c r="IZ409" s="2"/>
      <c r="JA409" s="2"/>
      <c r="JB409" s="2"/>
      <c r="J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I410" s="209"/>
      <c r="J410" s="210"/>
      <c r="K410" s="209"/>
      <c r="L410" s="209"/>
      <c r="N410" s="2"/>
      <c r="O410" s="2"/>
      <c r="P410" s="2"/>
      <c r="Q410" s="2"/>
      <c r="R410" s="2"/>
      <c r="S410" s="2"/>
      <c r="T410" s="100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IU410" s="2"/>
      <c r="IV410" s="2"/>
      <c r="IW410" s="2"/>
      <c r="IX410" s="2"/>
      <c r="IY410" s="2"/>
      <c r="IZ410" s="2"/>
      <c r="JA410" s="2"/>
      <c r="JB410" s="2"/>
      <c r="J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I411" s="5"/>
      <c r="J411" s="211"/>
      <c r="K411" s="5"/>
      <c r="L411" s="5"/>
      <c r="N411" s="2"/>
      <c r="O411" s="2"/>
      <c r="P411" s="2"/>
      <c r="Q411" s="2"/>
      <c r="R411" s="2"/>
      <c r="S411" s="2"/>
      <c r="T411" s="7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IU411" s="2"/>
      <c r="IV411" s="2"/>
      <c r="IW411" s="2"/>
      <c r="IX411" s="2"/>
      <c r="IY411" s="2"/>
      <c r="IZ411" s="2"/>
      <c r="JA411" s="2"/>
      <c r="JB411" s="2"/>
      <c r="J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I412" s="209"/>
      <c r="J412" s="210"/>
      <c r="K412" s="209"/>
      <c r="L412" s="209"/>
      <c r="N412" s="2"/>
      <c r="O412" s="2"/>
      <c r="P412" s="2"/>
      <c r="Q412" s="2"/>
      <c r="R412" s="2"/>
      <c r="S412" s="2"/>
      <c r="T412" s="100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IU412" s="2"/>
      <c r="IV412" s="2"/>
      <c r="IW412" s="2"/>
      <c r="IX412" s="2"/>
      <c r="IY412" s="2"/>
      <c r="IZ412" s="2"/>
      <c r="JA412" s="2"/>
      <c r="JB412" s="2"/>
      <c r="J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I413" s="5"/>
      <c r="J413" s="211"/>
      <c r="K413" s="5"/>
      <c r="L413" s="5"/>
      <c r="N413" s="2"/>
      <c r="O413" s="2"/>
      <c r="P413" s="2"/>
      <c r="Q413" s="2"/>
      <c r="R413" s="2"/>
      <c r="S413" s="2"/>
      <c r="T413" s="7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IU413" s="2"/>
      <c r="IV413" s="2"/>
      <c r="IW413" s="2"/>
      <c r="IX413" s="2"/>
      <c r="IY413" s="2"/>
      <c r="IZ413" s="2"/>
      <c r="JA413" s="2"/>
      <c r="JB413" s="2"/>
      <c r="J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I414" s="209"/>
      <c r="J414" s="210"/>
      <c r="K414" s="209"/>
      <c r="L414" s="209"/>
      <c r="N414" s="2"/>
      <c r="O414" s="2"/>
      <c r="P414" s="2"/>
      <c r="Q414" s="2"/>
      <c r="R414" s="2"/>
      <c r="S414" s="2"/>
      <c r="T414" s="100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IU414" s="2"/>
      <c r="IV414" s="2"/>
      <c r="IW414" s="2"/>
      <c r="IX414" s="2"/>
      <c r="IY414" s="2"/>
      <c r="IZ414" s="2"/>
      <c r="JA414" s="2"/>
      <c r="JB414" s="2"/>
      <c r="J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I415" s="5"/>
      <c r="J415" s="211"/>
      <c r="K415" s="5"/>
      <c r="L415" s="5"/>
      <c r="N415" s="2"/>
      <c r="O415" s="2"/>
      <c r="P415" s="2"/>
      <c r="Q415" s="2"/>
      <c r="R415" s="2"/>
      <c r="S415" s="2"/>
      <c r="T415" s="7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IU415" s="2"/>
      <c r="IV415" s="2"/>
      <c r="IW415" s="2"/>
      <c r="IX415" s="2"/>
      <c r="IY415" s="2"/>
      <c r="IZ415" s="2"/>
      <c r="JA415" s="2"/>
      <c r="JB415" s="2"/>
      <c r="J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I416" s="209"/>
      <c r="J416" s="210"/>
      <c r="K416" s="209"/>
      <c r="L416" s="209"/>
      <c r="N416" s="2"/>
      <c r="O416" s="2"/>
      <c r="P416" s="2"/>
      <c r="Q416" s="2"/>
      <c r="R416" s="2"/>
      <c r="S416" s="2"/>
      <c r="T416" s="3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IU416" s="2"/>
      <c r="IV416" s="2"/>
      <c r="IW416" s="2"/>
      <c r="IX416" s="2"/>
      <c r="IY416" s="2"/>
      <c r="IZ416" s="2"/>
      <c r="JA416" s="2"/>
      <c r="JB416" s="2"/>
      <c r="J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I417" s="5"/>
      <c r="J417" s="211"/>
      <c r="K417" s="5"/>
      <c r="L417" s="5"/>
      <c r="N417" s="2"/>
      <c r="O417" s="2"/>
      <c r="P417" s="2"/>
      <c r="Q417" s="2"/>
      <c r="R417" s="2"/>
      <c r="S417" s="2"/>
      <c r="T417" s="10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IU417" s="2"/>
      <c r="IV417" s="2"/>
      <c r="IW417" s="2"/>
      <c r="IX417" s="2"/>
      <c r="IY417" s="2"/>
      <c r="IZ417" s="2"/>
      <c r="JA417" s="2"/>
      <c r="JB417" s="2"/>
      <c r="J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I418" s="209"/>
      <c r="J418" s="210"/>
      <c r="K418" s="209"/>
      <c r="L418" s="209"/>
      <c r="N418" s="2"/>
      <c r="O418" s="2"/>
      <c r="P418" s="2"/>
      <c r="Q418" s="2"/>
      <c r="R418" s="2"/>
      <c r="S418" s="2"/>
      <c r="T418" s="10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IU418" s="2"/>
      <c r="IV418" s="2"/>
      <c r="IW418" s="2"/>
      <c r="IX418" s="2"/>
      <c r="IY418" s="2"/>
      <c r="IZ418" s="2"/>
      <c r="JA418" s="2"/>
      <c r="JB418" s="2"/>
      <c r="J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I419" s="5"/>
      <c r="J419" s="211"/>
      <c r="K419" s="5"/>
      <c r="L419" s="5"/>
      <c r="N419" s="2"/>
      <c r="O419" s="2"/>
      <c r="P419" s="2"/>
      <c r="Q419" s="2"/>
      <c r="R419" s="2"/>
      <c r="S419" s="2"/>
      <c r="T419" s="10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IU419" s="2"/>
      <c r="IV419" s="2"/>
      <c r="IW419" s="2"/>
      <c r="IX419" s="2"/>
      <c r="IY419" s="2"/>
      <c r="IZ419" s="2"/>
      <c r="JA419" s="2"/>
      <c r="JB419" s="2"/>
      <c r="J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I420" s="209"/>
      <c r="J420" s="210"/>
      <c r="K420" s="209"/>
      <c r="L420" s="209"/>
      <c r="N420" s="2"/>
      <c r="O420" s="2"/>
      <c r="P420" s="2"/>
      <c r="Q420" s="2"/>
      <c r="R420" s="2"/>
      <c r="S420" s="2"/>
      <c r="T420" s="10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IU420" s="2"/>
      <c r="IV420" s="2"/>
      <c r="IW420" s="2"/>
      <c r="IX420" s="2"/>
      <c r="IY420" s="2"/>
      <c r="IZ420" s="2"/>
      <c r="JA420" s="2"/>
      <c r="JB420" s="2"/>
      <c r="J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I421" s="5"/>
      <c r="J421" s="211"/>
      <c r="K421" s="5"/>
      <c r="L421" s="5"/>
      <c r="N421" s="2"/>
      <c r="O421" s="2"/>
      <c r="P421" s="2"/>
      <c r="Q421" s="2"/>
      <c r="R421" s="2"/>
      <c r="S421" s="2"/>
      <c r="T421" s="7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IU421" s="2"/>
      <c r="IV421" s="2"/>
      <c r="IW421" s="2"/>
      <c r="IX421" s="2"/>
      <c r="IY421" s="2"/>
      <c r="IZ421" s="2"/>
      <c r="JA421" s="2"/>
      <c r="JB421" s="2"/>
      <c r="J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I422" s="209"/>
      <c r="J422" s="210"/>
      <c r="K422" s="209"/>
      <c r="L422" s="209"/>
      <c r="N422" s="2"/>
      <c r="O422" s="2"/>
      <c r="P422" s="2"/>
      <c r="Q422" s="2"/>
      <c r="R422" s="2"/>
      <c r="S422" s="2"/>
      <c r="T422" s="100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IU422" s="2"/>
      <c r="IV422" s="2"/>
      <c r="IW422" s="2"/>
      <c r="IX422" s="2"/>
      <c r="IY422" s="2"/>
      <c r="IZ422" s="2"/>
      <c r="JA422" s="2"/>
      <c r="JB422" s="2"/>
      <c r="J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I423" s="5"/>
      <c r="J423" s="211"/>
      <c r="K423" s="5"/>
      <c r="L423" s="5"/>
      <c r="N423" s="2"/>
      <c r="O423" s="2"/>
      <c r="P423" s="2"/>
      <c r="Q423" s="2"/>
      <c r="R423" s="2"/>
      <c r="S423" s="2"/>
      <c r="T423" s="7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IU423" s="2"/>
      <c r="IV423" s="2"/>
      <c r="IW423" s="2"/>
      <c r="IX423" s="2"/>
      <c r="IY423" s="2"/>
      <c r="IZ423" s="2"/>
      <c r="JA423" s="2"/>
      <c r="JB423" s="2"/>
      <c r="J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I424" s="209"/>
      <c r="J424" s="210"/>
      <c r="K424" s="209"/>
      <c r="L424" s="209"/>
      <c r="N424" s="2"/>
      <c r="O424" s="2"/>
      <c r="P424" s="2"/>
      <c r="Q424" s="2"/>
      <c r="R424" s="2"/>
      <c r="S424" s="2"/>
      <c r="T424" s="100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IU424" s="2"/>
      <c r="IV424" s="2"/>
      <c r="IW424" s="2"/>
      <c r="IX424" s="2"/>
      <c r="IY424" s="2"/>
      <c r="IZ424" s="2"/>
      <c r="JA424" s="2"/>
      <c r="JB424" s="2"/>
      <c r="J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I425" s="5"/>
      <c r="J425" s="211"/>
      <c r="K425" s="5"/>
      <c r="L425" s="5"/>
      <c r="N425" s="2"/>
      <c r="O425" s="2"/>
      <c r="P425" s="2"/>
      <c r="Q425" s="2"/>
      <c r="R425" s="2"/>
      <c r="S425" s="2"/>
      <c r="T425" s="7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IU425" s="2"/>
      <c r="IV425" s="2"/>
      <c r="IW425" s="2"/>
      <c r="IX425" s="2"/>
      <c r="IY425" s="2"/>
      <c r="IZ425" s="2"/>
      <c r="JA425" s="2"/>
      <c r="JB425" s="2"/>
      <c r="J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I426" s="209"/>
      <c r="J426" s="210"/>
      <c r="K426" s="209"/>
      <c r="L426" s="209"/>
      <c r="N426" s="2"/>
      <c r="O426" s="2"/>
      <c r="P426" s="2"/>
      <c r="Q426" s="2"/>
      <c r="R426" s="2"/>
      <c r="S426" s="2"/>
      <c r="T426" s="100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IU426" s="2"/>
      <c r="IV426" s="2"/>
      <c r="IW426" s="2"/>
      <c r="IX426" s="2"/>
      <c r="IY426" s="2"/>
      <c r="IZ426" s="2"/>
      <c r="JA426" s="2"/>
      <c r="JB426" s="2"/>
      <c r="J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I427" s="5"/>
      <c r="J427" s="211"/>
      <c r="K427" s="5"/>
      <c r="L427" s="5"/>
      <c r="N427" s="2"/>
      <c r="O427" s="2"/>
      <c r="P427" s="2"/>
      <c r="Q427" s="2"/>
      <c r="R427" s="2"/>
      <c r="S427" s="2"/>
      <c r="T427" s="7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IU427" s="2"/>
      <c r="IV427" s="2"/>
      <c r="IW427" s="2"/>
      <c r="IX427" s="2"/>
      <c r="IY427" s="2"/>
      <c r="IZ427" s="2"/>
      <c r="JA427" s="2"/>
      <c r="JB427" s="2"/>
      <c r="J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I428" s="209"/>
      <c r="J428" s="210"/>
      <c r="K428" s="209"/>
      <c r="L428" s="209"/>
      <c r="N428" s="2"/>
      <c r="O428" s="2"/>
      <c r="P428" s="2"/>
      <c r="Q428" s="2"/>
      <c r="R428" s="2"/>
      <c r="S428" s="2"/>
      <c r="T428" s="100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IU428" s="2"/>
      <c r="IV428" s="2"/>
      <c r="IW428" s="2"/>
      <c r="IX428" s="2"/>
      <c r="IY428" s="2"/>
      <c r="IZ428" s="2"/>
      <c r="JA428" s="2"/>
      <c r="JB428" s="2"/>
      <c r="J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I429" s="5"/>
      <c r="J429" s="211"/>
      <c r="K429" s="5"/>
      <c r="L429" s="5"/>
      <c r="N429" s="2"/>
      <c r="O429" s="2"/>
      <c r="P429" s="2"/>
      <c r="Q429" s="2"/>
      <c r="R429" s="2"/>
      <c r="S429" s="2"/>
      <c r="T429" s="7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IU429" s="2"/>
      <c r="IV429" s="2"/>
      <c r="IW429" s="2"/>
      <c r="IX429" s="2"/>
      <c r="IY429" s="2"/>
      <c r="IZ429" s="2"/>
      <c r="JA429" s="2"/>
      <c r="JB429" s="2"/>
      <c r="J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I430" s="209"/>
      <c r="J430" s="210"/>
      <c r="K430" s="209"/>
      <c r="L430" s="209"/>
      <c r="N430" s="2"/>
      <c r="O430" s="2"/>
      <c r="P430" s="2"/>
      <c r="Q430" s="2"/>
      <c r="R430" s="2"/>
      <c r="S430" s="2"/>
      <c r="T430" s="100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IU430" s="2"/>
      <c r="IV430" s="2"/>
      <c r="IW430" s="2"/>
      <c r="IX430" s="2"/>
      <c r="IY430" s="2"/>
      <c r="IZ430" s="2"/>
      <c r="JA430" s="2"/>
      <c r="JB430" s="2"/>
      <c r="J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I431" s="5"/>
      <c r="J431" s="211"/>
      <c r="K431" s="5"/>
      <c r="L431" s="5"/>
      <c r="N431" s="2"/>
      <c r="O431" s="2"/>
      <c r="P431" s="2"/>
      <c r="Q431" s="2"/>
      <c r="R431" s="2"/>
      <c r="S431" s="2"/>
      <c r="T431" s="7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IU431" s="2"/>
      <c r="IV431" s="2"/>
      <c r="IW431" s="2"/>
      <c r="IX431" s="2"/>
      <c r="IY431" s="2"/>
      <c r="IZ431" s="2"/>
      <c r="JA431" s="2"/>
      <c r="JB431" s="2"/>
      <c r="J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I432" s="209"/>
      <c r="J432" s="210"/>
      <c r="K432" s="209"/>
      <c r="L432" s="209"/>
      <c r="N432" s="2"/>
      <c r="O432" s="2"/>
      <c r="P432" s="2"/>
      <c r="Q432" s="2"/>
      <c r="R432" s="2"/>
      <c r="S432" s="2"/>
      <c r="T432" s="3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IU432" s="2"/>
      <c r="IV432" s="2"/>
      <c r="IW432" s="2"/>
      <c r="IX432" s="2"/>
      <c r="IY432" s="2"/>
      <c r="IZ432" s="2"/>
      <c r="JA432" s="2"/>
      <c r="JB432" s="2"/>
      <c r="J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I433" s="5"/>
      <c r="J433" s="211"/>
      <c r="K433" s="5"/>
      <c r="L433" s="5"/>
      <c r="N433" s="2"/>
      <c r="O433" s="2"/>
      <c r="P433" s="2"/>
      <c r="Q433" s="2"/>
      <c r="R433" s="2"/>
      <c r="S433" s="2"/>
      <c r="T433" s="10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IU433" s="2"/>
      <c r="IV433" s="2"/>
      <c r="IW433" s="2"/>
      <c r="IX433" s="2"/>
      <c r="IY433" s="2"/>
      <c r="IZ433" s="2"/>
      <c r="JA433" s="2"/>
      <c r="JB433" s="2"/>
      <c r="J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I434" s="209"/>
      <c r="J434" s="210"/>
      <c r="K434" s="209"/>
      <c r="L434" s="209"/>
      <c r="N434" s="2"/>
      <c r="O434" s="2"/>
      <c r="P434" s="2"/>
      <c r="Q434" s="2"/>
      <c r="R434" s="2"/>
      <c r="S434" s="2"/>
      <c r="T434" s="10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IU434" s="2"/>
      <c r="IV434" s="2"/>
      <c r="IW434" s="2"/>
      <c r="IX434" s="2"/>
      <c r="IY434" s="2"/>
      <c r="IZ434" s="2"/>
      <c r="JA434" s="2"/>
      <c r="JB434" s="2"/>
      <c r="J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I435" s="5"/>
      <c r="J435" s="211"/>
      <c r="K435" s="5"/>
      <c r="L435" s="5"/>
      <c r="N435" s="2"/>
      <c r="O435" s="2"/>
      <c r="P435" s="2"/>
      <c r="Q435" s="2"/>
      <c r="R435" s="2"/>
      <c r="S435" s="2"/>
      <c r="T435" s="10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IU435" s="2"/>
      <c r="IV435" s="2"/>
      <c r="IW435" s="2"/>
      <c r="IX435" s="2"/>
      <c r="IY435" s="2"/>
      <c r="IZ435" s="2"/>
      <c r="JA435" s="2"/>
      <c r="JB435" s="2"/>
      <c r="J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I436" s="209"/>
      <c r="J436" s="210"/>
      <c r="K436" s="209"/>
      <c r="L436" s="209"/>
      <c r="N436" s="2"/>
      <c r="O436" s="2"/>
      <c r="P436" s="2"/>
      <c r="Q436" s="2"/>
      <c r="R436" s="2"/>
      <c r="S436" s="2"/>
      <c r="T436" s="10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IU436" s="2"/>
      <c r="IV436" s="2"/>
      <c r="IW436" s="2"/>
      <c r="IX436" s="2"/>
      <c r="IY436" s="2"/>
      <c r="IZ436" s="2"/>
      <c r="JA436" s="2"/>
      <c r="JB436" s="2"/>
      <c r="J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I437" s="5"/>
      <c r="J437" s="211"/>
      <c r="K437" s="5"/>
      <c r="L437" s="5"/>
      <c r="N437" s="2"/>
      <c r="O437" s="2"/>
      <c r="P437" s="2"/>
      <c r="Q437" s="2"/>
      <c r="R437" s="2"/>
      <c r="S437" s="2"/>
      <c r="T437" s="7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IU437" s="2"/>
      <c r="IV437" s="2"/>
      <c r="IW437" s="2"/>
      <c r="IX437" s="2"/>
      <c r="IY437" s="2"/>
      <c r="IZ437" s="2"/>
      <c r="JA437" s="2"/>
      <c r="JB437" s="2"/>
      <c r="J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I438" s="209"/>
      <c r="J438" s="210"/>
      <c r="K438" s="209"/>
      <c r="L438" s="209"/>
      <c r="N438" s="2"/>
      <c r="O438" s="2"/>
      <c r="P438" s="2"/>
      <c r="Q438" s="2"/>
      <c r="R438" s="2"/>
      <c r="S438" s="2"/>
      <c r="T438" s="100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IU438" s="2"/>
      <c r="IV438" s="2"/>
      <c r="IW438" s="2"/>
      <c r="IX438" s="2"/>
      <c r="IY438" s="2"/>
      <c r="IZ438" s="2"/>
      <c r="JA438" s="2"/>
      <c r="JB438" s="2"/>
      <c r="J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I439" s="5"/>
      <c r="J439" s="211"/>
      <c r="K439" s="5"/>
      <c r="L439" s="5"/>
      <c r="N439" s="2"/>
      <c r="O439" s="2"/>
      <c r="P439" s="2"/>
      <c r="Q439" s="2"/>
      <c r="R439" s="2"/>
      <c r="S439" s="2"/>
      <c r="T439" s="7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IU439" s="2"/>
      <c r="IV439" s="2"/>
      <c r="IW439" s="2"/>
      <c r="IX439" s="2"/>
      <c r="IY439" s="2"/>
      <c r="IZ439" s="2"/>
      <c r="JA439" s="2"/>
      <c r="JB439" s="2"/>
      <c r="J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I440" s="209"/>
      <c r="J440" s="210"/>
      <c r="K440" s="209"/>
      <c r="L440" s="209"/>
      <c r="N440" s="2"/>
      <c r="O440" s="2"/>
      <c r="P440" s="2"/>
      <c r="Q440" s="2"/>
      <c r="R440" s="2"/>
      <c r="S440" s="2"/>
      <c r="T440" s="100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IU440" s="2"/>
      <c r="IV440" s="2"/>
      <c r="IW440" s="2"/>
      <c r="IX440" s="2"/>
      <c r="IY440" s="2"/>
      <c r="IZ440" s="2"/>
      <c r="JA440" s="2"/>
      <c r="JB440" s="2"/>
      <c r="J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I441" s="5"/>
      <c r="J441" s="211"/>
      <c r="K441" s="5"/>
      <c r="L441" s="5"/>
      <c r="N441" s="2"/>
      <c r="O441" s="2"/>
      <c r="P441" s="2"/>
      <c r="Q441" s="2"/>
      <c r="R441" s="2"/>
      <c r="S441" s="2"/>
      <c r="T441" s="7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IU441" s="2"/>
      <c r="IV441" s="2"/>
      <c r="IW441" s="2"/>
      <c r="IX441" s="2"/>
      <c r="IY441" s="2"/>
      <c r="IZ441" s="2"/>
      <c r="JA441" s="2"/>
      <c r="JB441" s="2"/>
      <c r="J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I442" s="209"/>
      <c r="J442" s="210"/>
      <c r="K442" s="209"/>
      <c r="L442" s="209"/>
      <c r="N442" s="2"/>
      <c r="O442" s="2"/>
      <c r="P442" s="2"/>
      <c r="Q442" s="2"/>
      <c r="R442" s="2"/>
      <c r="S442" s="2"/>
      <c r="T442" s="100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IU442" s="2"/>
      <c r="IV442" s="2"/>
      <c r="IW442" s="2"/>
      <c r="IX442" s="2"/>
      <c r="IY442" s="2"/>
      <c r="IZ442" s="2"/>
      <c r="JA442" s="2"/>
      <c r="JB442" s="2"/>
      <c r="J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I443" s="5"/>
      <c r="J443" s="211"/>
      <c r="K443" s="5"/>
      <c r="L443" s="5"/>
      <c r="N443" s="2"/>
      <c r="O443" s="2"/>
      <c r="P443" s="2"/>
      <c r="Q443" s="2"/>
      <c r="R443" s="2"/>
      <c r="S443" s="2"/>
      <c r="T443" s="7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IU443" s="2"/>
      <c r="IV443" s="2"/>
      <c r="IW443" s="2"/>
      <c r="IX443" s="2"/>
      <c r="IY443" s="2"/>
      <c r="IZ443" s="2"/>
      <c r="JA443" s="2"/>
      <c r="JB443" s="2"/>
      <c r="J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I444" s="209"/>
      <c r="J444" s="210"/>
      <c r="K444" s="209"/>
      <c r="L444" s="209"/>
      <c r="N444" s="2"/>
      <c r="O444" s="2"/>
      <c r="P444" s="2"/>
      <c r="Q444" s="2"/>
      <c r="R444" s="2"/>
      <c r="S444" s="2"/>
      <c r="T444" s="100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IU444" s="2"/>
      <c r="IV444" s="2"/>
      <c r="IW444" s="2"/>
      <c r="IX444" s="2"/>
      <c r="IY444" s="2"/>
      <c r="IZ444" s="2"/>
      <c r="JA444" s="2"/>
      <c r="JB444" s="2"/>
      <c r="J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I445" s="5"/>
      <c r="J445" s="211"/>
      <c r="K445" s="5"/>
      <c r="L445" s="5"/>
      <c r="N445" s="2"/>
      <c r="O445" s="2"/>
      <c r="P445" s="2"/>
      <c r="Q445" s="2"/>
      <c r="R445" s="2"/>
      <c r="S445" s="2"/>
      <c r="T445" s="7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IU445" s="2"/>
      <c r="IV445" s="2"/>
      <c r="IW445" s="2"/>
      <c r="IX445" s="2"/>
      <c r="IY445" s="2"/>
      <c r="IZ445" s="2"/>
      <c r="JA445" s="2"/>
      <c r="JB445" s="2"/>
      <c r="J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I446" s="209"/>
      <c r="J446" s="210"/>
      <c r="K446" s="209"/>
      <c r="L446" s="209"/>
      <c r="N446" s="2"/>
      <c r="O446" s="2"/>
      <c r="P446" s="2"/>
      <c r="Q446" s="2"/>
      <c r="R446" s="2"/>
      <c r="S446" s="2"/>
      <c r="T446" s="100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IU446" s="2"/>
      <c r="IV446" s="2"/>
      <c r="IW446" s="2"/>
      <c r="IX446" s="2"/>
      <c r="IY446" s="2"/>
      <c r="IZ446" s="2"/>
      <c r="JA446" s="2"/>
      <c r="JB446" s="2"/>
      <c r="J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I447" s="5"/>
      <c r="J447" s="211"/>
      <c r="K447" s="5"/>
      <c r="L447" s="5"/>
      <c r="N447" s="2"/>
      <c r="O447" s="2"/>
      <c r="P447" s="2"/>
      <c r="Q447" s="2"/>
      <c r="R447" s="2"/>
      <c r="S447" s="2"/>
      <c r="T447" s="7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IU447" s="2"/>
      <c r="IV447" s="2"/>
      <c r="IW447" s="2"/>
      <c r="IX447" s="2"/>
      <c r="IY447" s="2"/>
      <c r="IZ447" s="2"/>
      <c r="JA447" s="2"/>
      <c r="JB447" s="2"/>
      <c r="J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I448" s="209"/>
      <c r="J448" s="210"/>
      <c r="K448" s="209"/>
      <c r="L448" s="209"/>
      <c r="N448" s="2"/>
      <c r="O448" s="2"/>
      <c r="P448" s="2"/>
      <c r="Q448" s="2"/>
      <c r="R448" s="2"/>
      <c r="S448" s="2"/>
      <c r="T448" s="3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IU448" s="2"/>
      <c r="IV448" s="2"/>
      <c r="IW448" s="2"/>
      <c r="IX448" s="2"/>
      <c r="IY448" s="2"/>
      <c r="IZ448" s="2"/>
      <c r="JA448" s="2"/>
      <c r="JB448" s="2"/>
      <c r="J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I449" s="5"/>
      <c r="J449" s="211"/>
      <c r="K449" s="5"/>
      <c r="L449" s="5"/>
      <c r="N449" s="2"/>
      <c r="O449" s="2"/>
      <c r="P449" s="2"/>
      <c r="Q449" s="2"/>
      <c r="R449" s="2"/>
      <c r="S449" s="2"/>
      <c r="T449" s="10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IU449" s="2"/>
      <c r="IV449" s="2"/>
      <c r="IW449" s="2"/>
      <c r="IX449" s="2"/>
      <c r="IY449" s="2"/>
      <c r="IZ449" s="2"/>
      <c r="JA449" s="2"/>
      <c r="JB449" s="2"/>
      <c r="J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I450" s="209"/>
      <c r="J450" s="210"/>
      <c r="K450" s="209"/>
      <c r="L450" s="209"/>
      <c r="N450" s="2"/>
      <c r="O450" s="2"/>
      <c r="P450" s="2"/>
      <c r="Q450" s="2"/>
      <c r="R450" s="2"/>
      <c r="S450" s="2"/>
      <c r="T450" s="10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IU450" s="2"/>
      <c r="IV450" s="2"/>
      <c r="IW450" s="2"/>
      <c r="IX450" s="2"/>
      <c r="IY450" s="2"/>
      <c r="IZ450" s="2"/>
      <c r="JA450" s="2"/>
      <c r="JB450" s="2"/>
      <c r="J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I451" s="5"/>
      <c r="J451" s="211"/>
      <c r="K451" s="5"/>
      <c r="L451" s="5"/>
      <c r="N451" s="2"/>
      <c r="O451" s="2"/>
      <c r="P451" s="2"/>
      <c r="Q451" s="2"/>
      <c r="R451" s="2"/>
      <c r="S451" s="2"/>
      <c r="T451" s="10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IU451" s="2"/>
      <c r="IV451" s="2"/>
      <c r="IW451" s="2"/>
      <c r="IX451" s="2"/>
      <c r="IY451" s="2"/>
      <c r="IZ451" s="2"/>
      <c r="JA451" s="2"/>
      <c r="JB451" s="2"/>
      <c r="J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I452" s="209"/>
      <c r="J452" s="210"/>
      <c r="K452" s="209"/>
      <c r="L452" s="209"/>
      <c r="N452" s="2"/>
      <c r="O452" s="2"/>
      <c r="P452" s="2"/>
      <c r="Q452" s="2"/>
      <c r="R452" s="2"/>
      <c r="S452" s="2"/>
      <c r="T452" s="10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IU452" s="2"/>
      <c r="IV452" s="2"/>
      <c r="IW452" s="2"/>
      <c r="IX452" s="2"/>
      <c r="IY452" s="2"/>
      <c r="IZ452" s="2"/>
      <c r="JA452" s="2"/>
      <c r="JB452" s="2"/>
      <c r="J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I453" s="5"/>
      <c r="J453" s="211"/>
      <c r="K453" s="5"/>
      <c r="L453" s="5"/>
      <c r="N453" s="2"/>
      <c r="O453" s="2"/>
      <c r="P453" s="2"/>
      <c r="Q453" s="2"/>
      <c r="R453" s="2"/>
      <c r="S453" s="2"/>
      <c r="T453" s="7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IU453" s="2"/>
      <c r="IV453" s="2"/>
      <c r="IW453" s="2"/>
      <c r="IX453" s="2"/>
      <c r="IY453" s="2"/>
      <c r="IZ453" s="2"/>
      <c r="JA453" s="2"/>
      <c r="JB453" s="2"/>
      <c r="J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I454" s="209"/>
      <c r="J454" s="210"/>
      <c r="K454" s="209"/>
      <c r="L454" s="209"/>
      <c r="N454" s="2"/>
      <c r="O454" s="2"/>
      <c r="P454" s="2"/>
      <c r="Q454" s="2"/>
      <c r="R454" s="2"/>
      <c r="S454" s="2"/>
      <c r="T454" s="100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IU454" s="2"/>
      <c r="IV454" s="2"/>
      <c r="IW454" s="2"/>
      <c r="IX454" s="2"/>
      <c r="IY454" s="2"/>
      <c r="IZ454" s="2"/>
      <c r="JA454" s="2"/>
      <c r="JB454" s="2"/>
      <c r="J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I455" s="5"/>
      <c r="J455" s="211"/>
      <c r="K455" s="5"/>
      <c r="L455" s="5"/>
      <c r="N455" s="2"/>
      <c r="O455" s="2"/>
      <c r="P455" s="2"/>
      <c r="Q455" s="2"/>
      <c r="R455" s="2"/>
      <c r="S455" s="2"/>
      <c r="T455" s="7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IU455" s="2"/>
      <c r="IV455" s="2"/>
      <c r="IW455" s="2"/>
      <c r="IX455" s="2"/>
      <c r="IY455" s="2"/>
      <c r="IZ455" s="2"/>
      <c r="JA455" s="2"/>
      <c r="JB455" s="2"/>
      <c r="J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I456" s="209"/>
      <c r="J456" s="210"/>
      <c r="K456" s="209"/>
      <c r="L456" s="209"/>
      <c r="N456" s="2"/>
      <c r="O456" s="2"/>
      <c r="P456" s="2"/>
      <c r="Q456" s="2"/>
      <c r="R456" s="2"/>
      <c r="S456" s="2"/>
      <c r="T456" s="100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IU456" s="2"/>
      <c r="IV456" s="2"/>
      <c r="IW456" s="2"/>
      <c r="IX456" s="2"/>
      <c r="IY456" s="2"/>
      <c r="IZ456" s="2"/>
      <c r="JA456" s="2"/>
      <c r="JB456" s="2"/>
      <c r="J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I457" s="5"/>
      <c r="J457" s="211"/>
      <c r="K457" s="5"/>
      <c r="L457" s="5"/>
      <c r="N457" s="2"/>
      <c r="O457" s="2"/>
      <c r="P457" s="2"/>
      <c r="Q457" s="2"/>
      <c r="R457" s="2"/>
      <c r="S457" s="2"/>
      <c r="T457" s="7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IU457" s="2"/>
      <c r="IV457" s="2"/>
      <c r="IW457" s="2"/>
      <c r="IX457" s="2"/>
      <c r="IY457" s="2"/>
      <c r="IZ457" s="2"/>
      <c r="JA457" s="2"/>
      <c r="JB457" s="2"/>
      <c r="J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I458" s="209"/>
      <c r="J458" s="210"/>
      <c r="K458" s="209"/>
      <c r="L458" s="209"/>
      <c r="N458" s="2"/>
      <c r="O458" s="2"/>
      <c r="P458" s="2"/>
      <c r="Q458" s="2"/>
      <c r="R458" s="2"/>
      <c r="S458" s="2"/>
      <c r="T458" s="100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IU458" s="2"/>
      <c r="IV458" s="2"/>
      <c r="IW458" s="2"/>
      <c r="IX458" s="2"/>
      <c r="IY458" s="2"/>
      <c r="IZ458" s="2"/>
      <c r="JA458" s="2"/>
      <c r="JB458" s="2"/>
      <c r="J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I459" s="5"/>
      <c r="J459" s="211"/>
      <c r="K459" s="5"/>
      <c r="L459" s="5"/>
      <c r="N459" s="2"/>
      <c r="O459" s="2"/>
      <c r="P459" s="2"/>
      <c r="Q459" s="2"/>
      <c r="R459" s="2"/>
      <c r="S459" s="2"/>
      <c r="T459" s="7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IU459" s="2"/>
      <c r="IV459" s="2"/>
      <c r="IW459" s="2"/>
      <c r="IX459" s="2"/>
      <c r="IY459" s="2"/>
      <c r="IZ459" s="2"/>
      <c r="JA459" s="2"/>
      <c r="JB459" s="2"/>
      <c r="J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I460" s="209"/>
      <c r="J460" s="210"/>
      <c r="K460" s="209"/>
      <c r="L460" s="209"/>
      <c r="N460" s="2"/>
      <c r="O460" s="2"/>
      <c r="P460" s="2"/>
      <c r="Q460" s="2"/>
      <c r="R460" s="2"/>
      <c r="S460" s="2"/>
      <c r="T460" s="100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IU460" s="2"/>
      <c r="IV460" s="2"/>
      <c r="IW460" s="2"/>
      <c r="IX460" s="2"/>
      <c r="IY460" s="2"/>
      <c r="IZ460" s="2"/>
      <c r="JA460" s="2"/>
      <c r="JB460" s="2"/>
      <c r="J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I461" s="5"/>
      <c r="J461" s="211"/>
      <c r="K461" s="5"/>
      <c r="L461" s="5"/>
      <c r="N461" s="2"/>
      <c r="O461" s="2"/>
      <c r="P461" s="2"/>
      <c r="Q461" s="2"/>
      <c r="R461" s="2"/>
      <c r="S461" s="2"/>
      <c r="T461" s="7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IU461" s="2"/>
      <c r="IV461" s="2"/>
      <c r="IW461" s="2"/>
      <c r="IX461" s="2"/>
      <c r="IY461" s="2"/>
      <c r="IZ461" s="2"/>
      <c r="JA461" s="2"/>
      <c r="JB461" s="2"/>
      <c r="J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I462" s="209"/>
      <c r="J462" s="210"/>
      <c r="K462" s="209"/>
      <c r="L462" s="209"/>
      <c r="N462" s="2"/>
      <c r="O462" s="2"/>
      <c r="P462" s="2"/>
      <c r="Q462" s="2"/>
      <c r="R462" s="2"/>
      <c r="S462" s="2"/>
      <c r="T462" s="100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IU462" s="2"/>
      <c r="IV462" s="2"/>
      <c r="IW462" s="2"/>
      <c r="IX462" s="2"/>
      <c r="IY462" s="2"/>
      <c r="IZ462" s="2"/>
      <c r="JA462" s="2"/>
      <c r="JB462" s="2"/>
      <c r="J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I463" s="5"/>
      <c r="J463" s="211"/>
      <c r="K463" s="5"/>
      <c r="L463" s="5"/>
      <c r="N463" s="2"/>
      <c r="O463" s="2"/>
      <c r="P463" s="2"/>
      <c r="Q463" s="2"/>
      <c r="R463" s="2"/>
      <c r="S463" s="2"/>
      <c r="T463" s="7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IU463" s="2"/>
      <c r="IV463" s="2"/>
      <c r="IW463" s="2"/>
      <c r="IX463" s="2"/>
      <c r="IY463" s="2"/>
      <c r="IZ463" s="2"/>
      <c r="JA463" s="2"/>
      <c r="JB463" s="2"/>
      <c r="J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I464" s="209"/>
      <c r="J464" s="210"/>
      <c r="K464" s="209"/>
      <c r="L464" s="209"/>
      <c r="N464" s="2"/>
      <c r="O464" s="2"/>
      <c r="P464" s="2"/>
      <c r="Q464" s="2"/>
      <c r="R464" s="2"/>
      <c r="S464" s="2"/>
      <c r="T464" s="3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IU464" s="2"/>
      <c r="IV464" s="2"/>
      <c r="IW464" s="2"/>
      <c r="IX464" s="2"/>
      <c r="IY464" s="2"/>
      <c r="IZ464" s="2"/>
      <c r="JA464" s="2"/>
      <c r="JB464" s="2"/>
      <c r="J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I465" s="5"/>
      <c r="J465" s="211"/>
      <c r="K465" s="5"/>
      <c r="L465" s="5"/>
      <c r="N465" s="2"/>
      <c r="O465" s="2"/>
      <c r="P465" s="2"/>
      <c r="Q465" s="2"/>
      <c r="R465" s="2"/>
      <c r="S465" s="2"/>
      <c r="T465" s="10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IU465" s="2"/>
      <c r="IV465" s="2"/>
      <c r="IW465" s="2"/>
      <c r="IX465" s="2"/>
      <c r="IY465" s="2"/>
      <c r="IZ465" s="2"/>
      <c r="JA465" s="2"/>
      <c r="JB465" s="2"/>
      <c r="J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I466" s="209"/>
      <c r="J466" s="210"/>
      <c r="K466" s="209"/>
      <c r="L466" s="209"/>
      <c r="N466" s="2"/>
      <c r="O466" s="2"/>
      <c r="P466" s="2"/>
      <c r="Q466" s="2"/>
      <c r="R466" s="2"/>
      <c r="S466" s="2"/>
      <c r="T466" s="10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IU466" s="2"/>
      <c r="IV466" s="2"/>
      <c r="IW466" s="2"/>
      <c r="IX466" s="2"/>
      <c r="IY466" s="2"/>
      <c r="IZ466" s="2"/>
      <c r="JA466" s="2"/>
      <c r="JB466" s="2"/>
      <c r="J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I467" s="5"/>
      <c r="J467" s="211"/>
      <c r="K467" s="5"/>
      <c r="L467" s="5"/>
      <c r="N467" s="2"/>
      <c r="O467" s="2"/>
      <c r="P467" s="2"/>
      <c r="Q467" s="2"/>
      <c r="R467" s="2"/>
      <c r="S467" s="2"/>
      <c r="T467" s="10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IU467" s="2"/>
      <c r="IV467" s="2"/>
      <c r="IW467" s="2"/>
      <c r="IX467" s="2"/>
      <c r="IY467" s="2"/>
      <c r="IZ467" s="2"/>
      <c r="JA467" s="2"/>
      <c r="JB467" s="2"/>
      <c r="J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I468" s="209"/>
      <c r="J468" s="210"/>
      <c r="K468" s="209"/>
      <c r="L468" s="209"/>
      <c r="N468" s="2"/>
      <c r="O468" s="2"/>
      <c r="P468" s="2"/>
      <c r="Q468" s="2"/>
      <c r="R468" s="2"/>
      <c r="S468" s="2"/>
      <c r="T468" s="10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IU468" s="2"/>
      <c r="IV468" s="2"/>
      <c r="IW468" s="2"/>
      <c r="IX468" s="2"/>
      <c r="IY468" s="2"/>
      <c r="IZ468" s="2"/>
      <c r="JA468" s="2"/>
      <c r="JB468" s="2"/>
      <c r="J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I469" s="5"/>
      <c r="J469" s="211"/>
      <c r="K469" s="5"/>
      <c r="L469" s="5"/>
      <c r="N469" s="2"/>
      <c r="O469" s="2"/>
      <c r="P469" s="2"/>
      <c r="Q469" s="2"/>
      <c r="R469" s="2"/>
      <c r="S469" s="2"/>
      <c r="T469" s="7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IU469" s="2"/>
      <c r="IV469" s="2"/>
      <c r="IW469" s="2"/>
      <c r="IX469" s="2"/>
      <c r="IY469" s="2"/>
      <c r="IZ469" s="2"/>
      <c r="JA469" s="2"/>
      <c r="JB469" s="2"/>
      <c r="J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I470" s="209"/>
      <c r="J470" s="210"/>
      <c r="K470" s="209"/>
      <c r="L470" s="209"/>
      <c r="N470" s="2"/>
      <c r="O470" s="2"/>
      <c r="P470" s="2"/>
      <c r="Q470" s="2"/>
      <c r="R470" s="2"/>
      <c r="S470" s="2"/>
      <c r="T470" s="100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IU470" s="2"/>
      <c r="IV470" s="2"/>
      <c r="IW470" s="2"/>
      <c r="IX470" s="2"/>
      <c r="IY470" s="2"/>
      <c r="IZ470" s="2"/>
      <c r="JA470" s="2"/>
      <c r="JB470" s="2"/>
      <c r="J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I471" s="5"/>
      <c r="J471" s="211"/>
      <c r="K471" s="5"/>
      <c r="L471" s="5"/>
      <c r="N471" s="2"/>
      <c r="O471" s="2"/>
      <c r="P471" s="2"/>
      <c r="Q471" s="2"/>
      <c r="R471" s="2"/>
      <c r="S471" s="2"/>
      <c r="T471" s="7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IU471" s="2"/>
      <c r="IV471" s="2"/>
      <c r="IW471" s="2"/>
      <c r="IX471" s="2"/>
      <c r="IY471" s="2"/>
      <c r="IZ471" s="2"/>
      <c r="JA471" s="2"/>
      <c r="JB471" s="2"/>
      <c r="J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I472" s="209"/>
      <c r="J472" s="210"/>
      <c r="K472" s="209"/>
      <c r="L472" s="209"/>
      <c r="N472" s="2"/>
      <c r="O472" s="2"/>
      <c r="P472" s="2"/>
      <c r="Q472" s="2"/>
      <c r="R472" s="2"/>
      <c r="S472" s="2"/>
      <c r="T472" s="100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IU472" s="2"/>
      <c r="IV472" s="2"/>
      <c r="IW472" s="2"/>
      <c r="IX472" s="2"/>
      <c r="IY472" s="2"/>
      <c r="IZ472" s="2"/>
      <c r="JA472" s="2"/>
      <c r="JB472" s="2"/>
      <c r="J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I473" s="5"/>
      <c r="J473" s="211"/>
      <c r="K473" s="5"/>
      <c r="L473" s="5"/>
      <c r="N473" s="2"/>
      <c r="O473" s="2"/>
      <c r="P473" s="2"/>
      <c r="Q473" s="2"/>
      <c r="R473" s="2"/>
      <c r="S473" s="2"/>
      <c r="T473" s="7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IU473" s="2"/>
      <c r="IV473" s="2"/>
      <c r="IW473" s="2"/>
      <c r="IX473" s="2"/>
      <c r="IY473" s="2"/>
      <c r="IZ473" s="2"/>
      <c r="JA473" s="2"/>
      <c r="JB473" s="2"/>
      <c r="J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I474" s="209"/>
      <c r="J474" s="210"/>
      <c r="K474" s="209"/>
      <c r="L474" s="209"/>
      <c r="N474" s="2"/>
      <c r="O474" s="2"/>
      <c r="P474" s="2"/>
      <c r="Q474" s="2"/>
      <c r="R474" s="2"/>
      <c r="S474" s="2"/>
      <c r="T474" s="100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IU474" s="2"/>
      <c r="IV474" s="2"/>
      <c r="IW474" s="2"/>
      <c r="IX474" s="2"/>
      <c r="IY474" s="2"/>
      <c r="IZ474" s="2"/>
      <c r="JA474" s="2"/>
      <c r="JB474" s="2"/>
      <c r="J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I475" s="5"/>
      <c r="J475" s="211"/>
      <c r="K475" s="5"/>
      <c r="L475" s="5"/>
      <c r="N475" s="2"/>
      <c r="O475" s="2"/>
      <c r="P475" s="2"/>
      <c r="Q475" s="2"/>
      <c r="R475" s="2"/>
      <c r="S475" s="2"/>
      <c r="T475" s="7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IU475" s="2"/>
      <c r="IV475" s="2"/>
      <c r="IW475" s="2"/>
      <c r="IX475" s="2"/>
      <c r="IY475" s="2"/>
      <c r="IZ475" s="2"/>
      <c r="JA475" s="2"/>
      <c r="JB475" s="2"/>
      <c r="J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I476" s="209"/>
      <c r="J476" s="210"/>
      <c r="K476" s="209"/>
      <c r="L476" s="209"/>
      <c r="N476" s="2"/>
      <c r="O476" s="2"/>
      <c r="P476" s="2"/>
      <c r="Q476" s="2"/>
      <c r="R476" s="2"/>
      <c r="S476" s="2"/>
      <c r="T476" s="100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IU476" s="2"/>
      <c r="IV476" s="2"/>
      <c r="IW476" s="2"/>
      <c r="IX476" s="2"/>
      <c r="IY476" s="2"/>
      <c r="IZ476" s="2"/>
      <c r="JA476" s="2"/>
      <c r="JB476" s="2"/>
      <c r="J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I477" s="5"/>
      <c r="J477" s="211"/>
      <c r="K477" s="5"/>
      <c r="L477" s="5"/>
      <c r="N477" s="2"/>
      <c r="O477" s="2"/>
      <c r="P477" s="2"/>
      <c r="Q477" s="2"/>
      <c r="R477" s="2"/>
      <c r="S477" s="2"/>
      <c r="T477" s="7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IU477" s="2"/>
      <c r="IV477" s="2"/>
      <c r="IW477" s="2"/>
      <c r="IX477" s="2"/>
      <c r="IY477" s="2"/>
      <c r="IZ477" s="2"/>
      <c r="JA477" s="2"/>
      <c r="JB477" s="2"/>
      <c r="J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I478" s="209"/>
      <c r="J478" s="210"/>
      <c r="K478" s="209"/>
      <c r="L478" s="209"/>
      <c r="N478" s="2"/>
      <c r="O478" s="2"/>
      <c r="P478" s="2"/>
      <c r="Q478" s="2"/>
      <c r="R478" s="2"/>
      <c r="S478" s="2"/>
      <c r="T478" s="100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IU478" s="2"/>
      <c r="IV478" s="2"/>
      <c r="IW478" s="2"/>
      <c r="IX478" s="2"/>
      <c r="IY478" s="2"/>
      <c r="IZ478" s="2"/>
      <c r="JA478" s="2"/>
      <c r="JB478" s="2"/>
      <c r="J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I479" s="5"/>
      <c r="J479" s="211"/>
      <c r="K479" s="5"/>
      <c r="L479" s="5"/>
      <c r="N479" s="2"/>
      <c r="O479" s="2"/>
      <c r="P479" s="2"/>
      <c r="Q479" s="2"/>
      <c r="R479" s="2"/>
      <c r="S479" s="2"/>
      <c r="T479" s="7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IU479" s="2"/>
      <c r="IV479" s="2"/>
      <c r="IW479" s="2"/>
      <c r="IX479" s="2"/>
      <c r="IY479" s="2"/>
      <c r="IZ479" s="2"/>
      <c r="JA479" s="2"/>
      <c r="JB479" s="2"/>
      <c r="J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I480" s="209"/>
      <c r="J480" s="210"/>
      <c r="K480" s="209"/>
      <c r="L480" s="209"/>
      <c r="N480" s="2"/>
      <c r="O480" s="2"/>
      <c r="P480" s="2"/>
      <c r="Q480" s="2"/>
      <c r="R480" s="2"/>
      <c r="S480" s="2"/>
      <c r="T480" s="3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IU480" s="2"/>
      <c r="IV480" s="2"/>
      <c r="IW480" s="2"/>
      <c r="IX480" s="2"/>
      <c r="IY480" s="2"/>
      <c r="IZ480" s="2"/>
      <c r="JA480" s="2"/>
      <c r="JB480" s="2"/>
      <c r="J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I481" s="5"/>
      <c r="J481" s="211"/>
      <c r="K481" s="5"/>
      <c r="L481" s="5"/>
      <c r="N481" s="2"/>
      <c r="O481" s="2"/>
      <c r="P481" s="2"/>
      <c r="Q481" s="2"/>
      <c r="R481" s="2"/>
      <c r="S481" s="2"/>
      <c r="T481" s="10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IU481" s="2"/>
      <c r="IV481" s="2"/>
      <c r="IW481" s="2"/>
      <c r="IX481" s="2"/>
      <c r="IY481" s="2"/>
      <c r="IZ481" s="2"/>
      <c r="JA481" s="2"/>
      <c r="JB481" s="2"/>
      <c r="J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I482" s="209"/>
      <c r="J482" s="210"/>
      <c r="K482" s="209"/>
      <c r="L482" s="209"/>
      <c r="N482" s="2"/>
      <c r="O482" s="2"/>
      <c r="P482" s="2"/>
      <c r="Q482" s="2"/>
      <c r="R482" s="2"/>
      <c r="S482" s="2"/>
      <c r="T482" s="10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IU482" s="2"/>
      <c r="IV482" s="2"/>
      <c r="IW482" s="2"/>
      <c r="IX482" s="2"/>
      <c r="IY482" s="2"/>
      <c r="IZ482" s="2"/>
      <c r="JA482" s="2"/>
      <c r="JB482" s="2"/>
      <c r="J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I483" s="5"/>
      <c r="J483" s="211"/>
      <c r="K483" s="5"/>
      <c r="L483" s="5"/>
      <c r="N483" s="2"/>
      <c r="O483" s="2"/>
      <c r="P483" s="2"/>
      <c r="Q483" s="2"/>
      <c r="R483" s="2"/>
      <c r="S483" s="2"/>
      <c r="T483" s="10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IU483" s="2"/>
      <c r="IV483" s="2"/>
      <c r="IW483" s="2"/>
      <c r="IX483" s="2"/>
      <c r="IY483" s="2"/>
      <c r="IZ483" s="2"/>
      <c r="JA483" s="2"/>
      <c r="JB483" s="2"/>
      <c r="J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I484" s="209"/>
      <c r="J484" s="210"/>
      <c r="K484" s="209"/>
      <c r="L484" s="209"/>
      <c r="N484" s="2"/>
      <c r="O484" s="2"/>
      <c r="P484" s="2"/>
      <c r="Q484" s="2"/>
      <c r="R484" s="2"/>
      <c r="S484" s="2"/>
      <c r="T484" s="10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IU484" s="2"/>
      <c r="IV484" s="2"/>
      <c r="IW484" s="2"/>
      <c r="IX484" s="2"/>
      <c r="IY484" s="2"/>
      <c r="IZ484" s="2"/>
      <c r="JA484" s="2"/>
      <c r="JB484" s="2"/>
      <c r="J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I485" s="5"/>
      <c r="J485" s="211"/>
      <c r="K485" s="5"/>
      <c r="L485" s="5"/>
      <c r="N485" s="2"/>
      <c r="O485" s="2"/>
      <c r="P485" s="2"/>
      <c r="Q485" s="2"/>
      <c r="R485" s="2"/>
      <c r="S485" s="2"/>
      <c r="T485" s="7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IU485" s="2"/>
      <c r="IV485" s="2"/>
      <c r="IW485" s="2"/>
      <c r="IX485" s="2"/>
      <c r="IY485" s="2"/>
      <c r="IZ485" s="2"/>
      <c r="JA485" s="2"/>
      <c r="JB485" s="2"/>
      <c r="J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I486" s="209"/>
      <c r="J486" s="210"/>
      <c r="K486" s="209"/>
      <c r="L486" s="209"/>
      <c r="N486" s="2"/>
      <c r="O486" s="2"/>
      <c r="P486" s="2"/>
      <c r="Q486" s="2"/>
      <c r="R486" s="2"/>
      <c r="S486" s="2"/>
      <c r="T486" s="100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IU486" s="2"/>
      <c r="IV486" s="2"/>
      <c r="IW486" s="2"/>
      <c r="IX486" s="2"/>
      <c r="IY486" s="2"/>
      <c r="IZ486" s="2"/>
      <c r="JA486" s="2"/>
      <c r="JB486" s="2"/>
      <c r="J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I487" s="5"/>
      <c r="J487" s="211"/>
      <c r="K487" s="5"/>
      <c r="L487" s="5"/>
      <c r="N487" s="2"/>
      <c r="O487" s="2"/>
      <c r="P487" s="2"/>
      <c r="Q487" s="2"/>
      <c r="R487" s="2"/>
      <c r="S487" s="2"/>
      <c r="T487" s="7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IU487" s="2"/>
      <c r="IV487" s="2"/>
      <c r="IW487" s="2"/>
      <c r="IX487" s="2"/>
      <c r="IY487" s="2"/>
      <c r="IZ487" s="2"/>
      <c r="JA487" s="2"/>
      <c r="JB487" s="2"/>
      <c r="J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I488" s="209"/>
      <c r="J488" s="210"/>
      <c r="K488" s="209"/>
      <c r="L488" s="209"/>
      <c r="N488" s="2"/>
      <c r="O488" s="2"/>
      <c r="P488" s="2"/>
      <c r="Q488" s="2"/>
      <c r="R488" s="2"/>
      <c r="S488" s="2"/>
      <c r="T488" s="100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IU488" s="2"/>
      <c r="IV488" s="2"/>
      <c r="IW488" s="2"/>
      <c r="IX488" s="2"/>
      <c r="IY488" s="2"/>
      <c r="IZ488" s="2"/>
      <c r="JA488" s="2"/>
      <c r="JB488" s="2"/>
      <c r="J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I489" s="5"/>
      <c r="J489" s="211"/>
      <c r="K489" s="5"/>
      <c r="L489" s="5"/>
      <c r="N489" s="2"/>
      <c r="O489" s="2"/>
      <c r="P489" s="2"/>
      <c r="Q489" s="2"/>
      <c r="R489" s="2"/>
      <c r="S489" s="2"/>
      <c r="T489" s="7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IU489" s="2"/>
      <c r="IV489" s="2"/>
      <c r="IW489" s="2"/>
      <c r="IX489" s="2"/>
      <c r="IY489" s="2"/>
      <c r="IZ489" s="2"/>
      <c r="JA489" s="2"/>
      <c r="JB489" s="2"/>
      <c r="J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I490" s="209"/>
      <c r="J490" s="210"/>
      <c r="K490" s="209"/>
      <c r="L490" s="209"/>
      <c r="N490" s="2"/>
      <c r="O490" s="2"/>
      <c r="P490" s="2"/>
      <c r="Q490" s="2"/>
      <c r="R490" s="2"/>
      <c r="S490" s="2"/>
      <c r="T490" s="100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IU490" s="2"/>
      <c r="IV490" s="2"/>
      <c r="IW490" s="2"/>
      <c r="IX490" s="2"/>
      <c r="IY490" s="2"/>
      <c r="IZ490" s="2"/>
      <c r="JA490" s="2"/>
      <c r="JB490" s="2"/>
      <c r="J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I491" s="5"/>
      <c r="J491" s="211"/>
      <c r="K491" s="5"/>
      <c r="L491" s="5"/>
      <c r="N491" s="2"/>
      <c r="O491" s="2"/>
      <c r="P491" s="2"/>
      <c r="Q491" s="2"/>
      <c r="R491" s="2"/>
      <c r="S491" s="2"/>
      <c r="T491" s="7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IU491" s="2"/>
      <c r="IV491" s="2"/>
      <c r="IW491" s="2"/>
      <c r="IX491" s="2"/>
      <c r="IY491" s="2"/>
      <c r="IZ491" s="2"/>
      <c r="JA491" s="2"/>
      <c r="JB491" s="2"/>
      <c r="J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I492" s="209"/>
      <c r="J492" s="210"/>
      <c r="K492" s="209"/>
      <c r="L492" s="209"/>
      <c r="N492" s="2"/>
      <c r="O492" s="2"/>
      <c r="P492" s="2"/>
      <c r="Q492" s="2"/>
      <c r="R492" s="2"/>
      <c r="S492" s="2"/>
      <c r="T492" s="100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IU492" s="2"/>
      <c r="IV492" s="2"/>
      <c r="IW492" s="2"/>
      <c r="IX492" s="2"/>
      <c r="IY492" s="2"/>
      <c r="IZ492" s="2"/>
      <c r="JA492" s="2"/>
      <c r="JB492" s="2"/>
      <c r="J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I493" s="5"/>
      <c r="J493" s="211"/>
      <c r="K493" s="5"/>
      <c r="L493" s="5"/>
      <c r="N493" s="2"/>
      <c r="O493" s="2"/>
      <c r="P493" s="2"/>
      <c r="Q493" s="2"/>
      <c r="R493" s="2"/>
      <c r="S493" s="2"/>
      <c r="T493" s="7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IU493" s="2"/>
      <c r="IV493" s="2"/>
      <c r="IW493" s="2"/>
      <c r="IX493" s="2"/>
      <c r="IY493" s="2"/>
      <c r="IZ493" s="2"/>
      <c r="JA493" s="2"/>
      <c r="JB493" s="2"/>
      <c r="J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I494" s="209"/>
      <c r="J494" s="210"/>
      <c r="K494" s="209"/>
      <c r="L494" s="209"/>
      <c r="N494" s="2"/>
      <c r="O494" s="2"/>
      <c r="P494" s="2"/>
      <c r="Q494" s="2"/>
      <c r="R494" s="2"/>
      <c r="S494" s="2"/>
      <c r="T494" s="100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IU494" s="2"/>
      <c r="IV494" s="2"/>
      <c r="IW494" s="2"/>
      <c r="IX494" s="2"/>
      <c r="IY494" s="2"/>
      <c r="IZ494" s="2"/>
      <c r="JA494" s="2"/>
      <c r="JB494" s="2"/>
      <c r="J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I495" s="5"/>
      <c r="J495" s="211"/>
      <c r="K495" s="5"/>
      <c r="L495" s="5"/>
      <c r="N495" s="2"/>
      <c r="O495" s="2"/>
      <c r="P495" s="2"/>
      <c r="Q495" s="2"/>
      <c r="R495" s="2"/>
      <c r="S495" s="2"/>
      <c r="T495" s="7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IU495" s="2"/>
      <c r="IV495" s="2"/>
      <c r="IW495" s="2"/>
      <c r="IX495" s="2"/>
      <c r="IY495" s="2"/>
      <c r="IZ495" s="2"/>
      <c r="JA495" s="2"/>
      <c r="JB495" s="2"/>
      <c r="J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I496" s="209"/>
      <c r="J496" s="210"/>
      <c r="K496" s="209"/>
      <c r="L496" s="209"/>
      <c r="N496" s="2"/>
      <c r="O496" s="2"/>
      <c r="P496" s="2"/>
      <c r="Q496" s="2"/>
      <c r="R496" s="2"/>
      <c r="S496" s="2"/>
      <c r="T496" s="3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IU496" s="2"/>
      <c r="IV496" s="2"/>
      <c r="IW496" s="2"/>
      <c r="IX496" s="2"/>
      <c r="IY496" s="2"/>
      <c r="IZ496" s="2"/>
      <c r="JA496" s="2"/>
      <c r="JB496" s="2"/>
      <c r="J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I497" s="5"/>
      <c r="J497" s="211"/>
      <c r="K497" s="5"/>
      <c r="L497" s="5"/>
      <c r="N497" s="2"/>
      <c r="O497" s="2"/>
      <c r="P497" s="2"/>
      <c r="Q497" s="2"/>
      <c r="R497" s="2"/>
      <c r="S497" s="2"/>
      <c r="T497" s="10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IU497" s="2"/>
      <c r="IV497" s="2"/>
      <c r="IW497" s="2"/>
      <c r="IX497" s="2"/>
      <c r="IY497" s="2"/>
      <c r="IZ497" s="2"/>
      <c r="JA497" s="2"/>
      <c r="JB497" s="2"/>
      <c r="J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I498" s="209"/>
      <c r="J498" s="210"/>
      <c r="K498" s="209"/>
      <c r="L498" s="209"/>
      <c r="N498" s="2"/>
      <c r="O498" s="2"/>
      <c r="P498" s="2"/>
      <c r="Q498" s="2"/>
      <c r="R498" s="2"/>
      <c r="S498" s="2"/>
      <c r="T498" s="10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IU498" s="2"/>
      <c r="IV498" s="2"/>
      <c r="IW498" s="2"/>
      <c r="IX498" s="2"/>
      <c r="IY498" s="2"/>
      <c r="IZ498" s="2"/>
      <c r="JA498" s="2"/>
      <c r="JB498" s="2"/>
      <c r="J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I499" s="5"/>
      <c r="J499" s="211"/>
      <c r="K499" s="5"/>
      <c r="L499" s="5"/>
      <c r="N499" s="2"/>
      <c r="O499" s="2"/>
      <c r="P499" s="2"/>
      <c r="Q499" s="2"/>
      <c r="R499" s="2"/>
      <c r="S499" s="2"/>
      <c r="T499" s="10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IU499" s="2"/>
      <c r="IV499" s="2"/>
      <c r="IW499" s="2"/>
      <c r="IX499" s="2"/>
      <c r="IY499" s="2"/>
      <c r="IZ499" s="2"/>
      <c r="JA499" s="2"/>
      <c r="JB499" s="2"/>
      <c r="J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I500" s="209"/>
      <c r="J500" s="210"/>
      <c r="K500" s="209"/>
      <c r="L500" s="209"/>
      <c r="N500" s="2"/>
      <c r="O500" s="2"/>
      <c r="P500" s="2"/>
      <c r="Q500" s="2"/>
      <c r="R500" s="2"/>
      <c r="S500" s="2"/>
      <c r="T500" s="10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IU500" s="2"/>
      <c r="IV500" s="2"/>
      <c r="IW500" s="2"/>
      <c r="IX500" s="2"/>
      <c r="IY500" s="2"/>
      <c r="IZ500" s="2"/>
      <c r="JA500" s="2"/>
      <c r="JB500" s="2"/>
      <c r="J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I501" s="5"/>
      <c r="J501" s="211"/>
      <c r="K501" s="5"/>
      <c r="L501" s="5"/>
      <c r="N501" s="2"/>
      <c r="O501" s="2"/>
      <c r="P501" s="2"/>
      <c r="Q501" s="2"/>
      <c r="R501" s="2"/>
      <c r="S501" s="2"/>
      <c r="T501" s="7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IU501" s="2"/>
      <c r="IV501" s="2"/>
      <c r="IW501" s="2"/>
      <c r="IX501" s="2"/>
      <c r="IY501" s="2"/>
      <c r="IZ501" s="2"/>
      <c r="JA501" s="2"/>
      <c r="JB501" s="2"/>
      <c r="J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I502" s="209"/>
      <c r="J502" s="210"/>
      <c r="K502" s="209"/>
      <c r="L502" s="209"/>
      <c r="N502" s="2"/>
      <c r="O502" s="2"/>
      <c r="P502" s="2"/>
      <c r="Q502" s="2"/>
      <c r="R502" s="2"/>
      <c r="S502" s="2"/>
      <c r="T502" s="100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IU502" s="2"/>
      <c r="IV502" s="2"/>
      <c r="IW502" s="2"/>
      <c r="IX502" s="2"/>
      <c r="IY502" s="2"/>
      <c r="IZ502" s="2"/>
      <c r="JA502" s="2"/>
      <c r="JB502" s="2"/>
      <c r="J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I503" s="5"/>
      <c r="J503" s="211"/>
      <c r="K503" s="5"/>
      <c r="L503" s="5"/>
      <c r="N503" s="2"/>
      <c r="O503" s="2"/>
      <c r="P503" s="2"/>
      <c r="Q503" s="2"/>
      <c r="R503" s="2"/>
      <c r="S503" s="2"/>
      <c r="T503" s="7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IU503" s="2"/>
      <c r="IV503" s="2"/>
      <c r="IW503" s="2"/>
      <c r="IX503" s="2"/>
      <c r="IY503" s="2"/>
      <c r="IZ503" s="2"/>
      <c r="JA503" s="2"/>
      <c r="JB503" s="2"/>
      <c r="J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I504" s="209"/>
      <c r="J504" s="210"/>
      <c r="K504" s="209"/>
      <c r="L504" s="209"/>
      <c r="N504" s="2"/>
      <c r="O504" s="2"/>
      <c r="P504" s="2"/>
      <c r="Q504" s="2"/>
      <c r="R504" s="2"/>
      <c r="S504" s="2"/>
      <c r="T504" s="100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IU504" s="2"/>
      <c r="IV504" s="2"/>
      <c r="IW504" s="2"/>
      <c r="IX504" s="2"/>
      <c r="IY504" s="2"/>
      <c r="IZ504" s="2"/>
      <c r="JA504" s="2"/>
      <c r="JB504" s="2"/>
      <c r="J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I505" s="5"/>
      <c r="J505" s="211"/>
      <c r="K505" s="5"/>
      <c r="L505" s="5"/>
      <c r="N505" s="2"/>
      <c r="O505" s="2"/>
      <c r="P505" s="2"/>
      <c r="Q505" s="2"/>
      <c r="R505" s="2"/>
      <c r="S505" s="2"/>
      <c r="T505" s="7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IU505" s="2"/>
      <c r="IV505" s="2"/>
      <c r="IW505" s="2"/>
      <c r="IX505" s="2"/>
      <c r="IY505" s="2"/>
      <c r="IZ505" s="2"/>
      <c r="JA505" s="2"/>
      <c r="JB505" s="2"/>
      <c r="J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I506" s="209"/>
      <c r="J506" s="210"/>
      <c r="K506" s="209"/>
      <c r="L506" s="209"/>
      <c r="N506" s="2"/>
      <c r="O506" s="2"/>
      <c r="P506" s="2"/>
      <c r="Q506" s="2"/>
      <c r="R506" s="2"/>
      <c r="S506" s="2"/>
      <c r="T506" s="100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IU506" s="2"/>
      <c r="IV506" s="2"/>
      <c r="IW506" s="2"/>
      <c r="IX506" s="2"/>
      <c r="IY506" s="2"/>
      <c r="IZ506" s="2"/>
      <c r="JA506" s="2"/>
      <c r="JB506" s="2"/>
      <c r="J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I507" s="5"/>
      <c r="J507" s="211"/>
      <c r="K507" s="5"/>
      <c r="L507" s="5"/>
      <c r="N507" s="2"/>
      <c r="O507" s="2"/>
      <c r="P507" s="2"/>
      <c r="Q507" s="2"/>
      <c r="R507" s="2"/>
      <c r="S507" s="2"/>
      <c r="T507" s="7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IU507" s="2"/>
      <c r="IV507" s="2"/>
      <c r="IW507" s="2"/>
      <c r="IX507" s="2"/>
      <c r="IY507" s="2"/>
      <c r="IZ507" s="2"/>
      <c r="JA507" s="2"/>
      <c r="JB507" s="2"/>
      <c r="J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I508" s="209"/>
      <c r="J508" s="210"/>
      <c r="K508" s="209"/>
      <c r="L508" s="209"/>
      <c r="N508" s="2"/>
      <c r="O508" s="2"/>
      <c r="P508" s="2"/>
      <c r="Q508" s="2"/>
      <c r="R508" s="2"/>
      <c r="S508" s="2"/>
      <c r="T508" s="100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IU508" s="2"/>
      <c r="IV508" s="2"/>
      <c r="IW508" s="2"/>
      <c r="IX508" s="2"/>
      <c r="IY508" s="2"/>
      <c r="IZ508" s="2"/>
      <c r="JA508" s="2"/>
      <c r="JB508" s="2"/>
      <c r="J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I509" s="5"/>
      <c r="J509" s="211"/>
      <c r="K509" s="5"/>
      <c r="L509" s="5"/>
      <c r="N509" s="2"/>
      <c r="O509" s="2"/>
      <c r="P509" s="2"/>
      <c r="Q509" s="2"/>
      <c r="R509" s="2"/>
      <c r="S509" s="2"/>
      <c r="T509" s="7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IU509" s="2"/>
      <c r="IV509" s="2"/>
      <c r="IW509" s="2"/>
      <c r="IX509" s="2"/>
      <c r="IY509" s="2"/>
      <c r="IZ509" s="2"/>
      <c r="JA509" s="2"/>
      <c r="JB509" s="2"/>
      <c r="J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I510" s="209"/>
      <c r="J510" s="210"/>
      <c r="K510" s="209"/>
      <c r="L510" s="209"/>
      <c r="N510" s="2"/>
      <c r="O510" s="2"/>
      <c r="P510" s="2"/>
      <c r="Q510" s="2"/>
      <c r="R510" s="2"/>
      <c r="S510" s="2"/>
      <c r="T510" s="100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IU510" s="2"/>
      <c r="IV510" s="2"/>
      <c r="IW510" s="2"/>
      <c r="IX510" s="2"/>
      <c r="IY510" s="2"/>
      <c r="IZ510" s="2"/>
      <c r="JA510" s="2"/>
      <c r="JB510" s="2"/>
      <c r="J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I511" s="5"/>
      <c r="J511" s="211"/>
      <c r="K511" s="5"/>
      <c r="L511" s="5"/>
      <c r="N511" s="2"/>
      <c r="O511" s="2"/>
      <c r="P511" s="2"/>
      <c r="Q511" s="2"/>
      <c r="R511" s="2"/>
      <c r="S511" s="2"/>
      <c r="T511" s="7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IU511" s="2"/>
      <c r="IV511" s="2"/>
      <c r="IW511" s="2"/>
      <c r="IX511" s="2"/>
      <c r="IY511" s="2"/>
      <c r="IZ511" s="2"/>
      <c r="JA511" s="2"/>
      <c r="JB511" s="2"/>
      <c r="J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I512" s="209"/>
      <c r="J512" s="210"/>
      <c r="K512" s="209"/>
      <c r="L512" s="209"/>
      <c r="N512" s="2"/>
      <c r="O512" s="2"/>
      <c r="P512" s="2"/>
      <c r="Q512" s="2"/>
      <c r="R512" s="2"/>
      <c r="S512" s="2"/>
      <c r="T512" s="3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IU512" s="2"/>
      <c r="IV512" s="2"/>
      <c r="IW512" s="2"/>
      <c r="IX512" s="2"/>
      <c r="IY512" s="2"/>
      <c r="IZ512" s="2"/>
      <c r="JA512" s="2"/>
      <c r="JB512" s="2"/>
      <c r="J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I513" s="5"/>
      <c r="J513" s="211"/>
      <c r="K513" s="5"/>
      <c r="L513" s="5"/>
      <c r="N513" s="2"/>
      <c r="O513" s="2"/>
      <c r="P513" s="2"/>
      <c r="Q513" s="2"/>
      <c r="R513" s="2"/>
      <c r="S513" s="2"/>
      <c r="T513" s="10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IU513" s="2"/>
      <c r="IV513" s="2"/>
      <c r="IW513" s="2"/>
      <c r="IX513" s="2"/>
      <c r="IY513" s="2"/>
      <c r="IZ513" s="2"/>
      <c r="JA513" s="2"/>
      <c r="JB513" s="2"/>
      <c r="J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I514" s="209"/>
      <c r="J514" s="210"/>
      <c r="K514" s="209"/>
      <c r="L514" s="209"/>
      <c r="N514" s="2"/>
      <c r="O514" s="2"/>
      <c r="P514" s="2"/>
      <c r="Q514" s="2"/>
      <c r="R514" s="2"/>
      <c r="S514" s="2"/>
      <c r="T514" s="10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IU514" s="2"/>
      <c r="IV514" s="2"/>
      <c r="IW514" s="2"/>
      <c r="IX514" s="2"/>
      <c r="IY514" s="2"/>
      <c r="IZ514" s="2"/>
      <c r="JA514" s="2"/>
      <c r="JB514" s="2"/>
      <c r="J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I515" s="5"/>
      <c r="J515" s="211"/>
      <c r="K515" s="5"/>
      <c r="L515" s="5"/>
      <c r="N515" s="2"/>
      <c r="O515" s="2"/>
      <c r="P515" s="2"/>
      <c r="Q515" s="2"/>
      <c r="R515" s="2"/>
      <c r="S515" s="2"/>
      <c r="T515" s="10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IU515" s="2"/>
      <c r="IV515" s="2"/>
      <c r="IW515" s="2"/>
      <c r="IX515" s="2"/>
      <c r="IY515" s="2"/>
      <c r="IZ515" s="2"/>
      <c r="JA515" s="2"/>
      <c r="JB515" s="2"/>
      <c r="J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I516" s="209"/>
      <c r="J516" s="210"/>
      <c r="K516" s="209"/>
      <c r="L516" s="209"/>
      <c r="N516" s="2"/>
      <c r="O516" s="2"/>
      <c r="P516" s="2"/>
      <c r="Q516" s="2"/>
      <c r="R516" s="2"/>
      <c r="S516" s="2"/>
      <c r="T516" s="10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IU516" s="2"/>
      <c r="IV516" s="2"/>
      <c r="IW516" s="2"/>
      <c r="IX516" s="2"/>
      <c r="IY516" s="2"/>
      <c r="IZ516" s="2"/>
      <c r="JA516" s="2"/>
      <c r="JB516" s="2"/>
      <c r="J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I517" s="5"/>
      <c r="J517" s="211"/>
      <c r="K517" s="5"/>
      <c r="L517" s="5"/>
      <c r="N517" s="2"/>
      <c r="O517" s="2"/>
      <c r="P517" s="2"/>
      <c r="Q517" s="2"/>
      <c r="R517" s="2"/>
      <c r="S517" s="2"/>
      <c r="T517" s="7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IU517" s="2"/>
      <c r="IV517" s="2"/>
      <c r="IW517" s="2"/>
      <c r="IX517" s="2"/>
      <c r="IY517" s="2"/>
      <c r="IZ517" s="2"/>
      <c r="JA517" s="2"/>
      <c r="JB517" s="2"/>
      <c r="J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I518" s="209"/>
      <c r="J518" s="210"/>
      <c r="K518" s="209"/>
      <c r="L518" s="209"/>
      <c r="N518" s="2"/>
      <c r="O518" s="2"/>
      <c r="P518" s="2"/>
      <c r="Q518" s="2"/>
      <c r="R518" s="2"/>
      <c r="S518" s="2"/>
      <c r="T518" s="100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IU518" s="2"/>
      <c r="IV518" s="2"/>
      <c r="IW518" s="2"/>
      <c r="IX518" s="2"/>
      <c r="IY518" s="2"/>
      <c r="IZ518" s="2"/>
      <c r="JA518" s="2"/>
      <c r="JB518" s="2"/>
      <c r="J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I519" s="5"/>
      <c r="J519" s="211"/>
      <c r="K519" s="5"/>
      <c r="L519" s="5"/>
      <c r="N519" s="2"/>
      <c r="O519" s="2"/>
      <c r="P519" s="2"/>
      <c r="Q519" s="2"/>
      <c r="R519" s="2"/>
      <c r="S519" s="2"/>
      <c r="T519" s="7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IU519" s="2"/>
      <c r="IV519" s="2"/>
      <c r="IW519" s="2"/>
      <c r="IX519" s="2"/>
      <c r="IY519" s="2"/>
      <c r="IZ519" s="2"/>
      <c r="JA519" s="2"/>
      <c r="JB519" s="2"/>
      <c r="J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I520" s="209"/>
      <c r="J520" s="210"/>
      <c r="K520" s="209"/>
      <c r="L520" s="209"/>
      <c r="N520" s="2"/>
      <c r="O520" s="2"/>
      <c r="P520" s="2"/>
      <c r="Q520" s="2"/>
      <c r="R520" s="2"/>
      <c r="S520" s="2"/>
      <c r="T520" s="100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IU520" s="2"/>
      <c r="IV520" s="2"/>
      <c r="IW520" s="2"/>
      <c r="IX520" s="2"/>
      <c r="IY520" s="2"/>
      <c r="IZ520" s="2"/>
      <c r="JA520" s="2"/>
      <c r="JB520" s="2"/>
      <c r="J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I521" s="5"/>
      <c r="J521" s="211"/>
      <c r="K521" s="5"/>
      <c r="L521" s="5"/>
      <c r="N521" s="2"/>
      <c r="O521" s="2"/>
      <c r="P521" s="2"/>
      <c r="Q521" s="2"/>
      <c r="R521" s="2"/>
      <c r="S521" s="2"/>
      <c r="T521" s="7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IU521" s="2"/>
      <c r="IV521" s="2"/>
      <c r="IW521" s="2"/>
      <c r="IX521" s="2"/>
      <c r="IY521" s="2"/>
      <c r="IZ521" s="2"/>
      <c r="JA521" s="2"/>
      <c r="JB521" s="2"/>
      <c r="J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I522" s="209"/>
      <c r="J522" s="210"/>
      <c r="K522" s="209"/>
      <c r="L522" s="209"/>
      <c r="N522" s="2"/>
      <c r="O522" s="2"/>
      <c r="P522" s="2"/>
      <c r="Q522" s="2"/>
      <c r="R522" s="2"/>
      <c r="S522" s="2"/>
      <c r="T522" s="100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IU522" s="2"/>
      <c r="IV522" s="2"/>
      <c r="IW522" s="2"/>
      <c r="IX522" s="2"/>
      <c r="IY522" s="2"/>
      <c r="IZ522" s="2"/>
      <c r="JA522" s="2"/>
      <c r="JB522" s="2"/>
      <c r="J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I523" s="5"/>
      <c r="J523" s="211"/>
      <c r="K523" s="5"/>
      <c r="L523" s="5"/>
      <c r="N523" s="2"/>
      <c r="O523" s="2"/>
      <c r="P523" s="2"/>
      <c r="Q523" s="2"/>
      <c r="R523" s="2"/>
      <c r="S523" s="2"/>
      <c r="T523" s="7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IU523" s="2"/>
      <c r="IV523" s="2"/>
      <c r="IW523" s="2"/>
      <c r="IX523" s="2"/>
      <c r="IY523" s="2"/>
      <c r="IZ523" s="2"/>
      <c r="JA523" s="2"/>
      <c r="JB523" s="2"/>
      <c r="J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I524" s="209"/>
      <c r="J524" s="210"/>
      <c r="K524" s="209"/>
      <c r="L524" s="209"/>
      <c r="N524" s="2"/>
      <c r="O524" s="2"/>
      <c r="P524" s="2"/>
      <c r="Q524" s="2"/>
      <c r="R524" s="2"/>
      <c r="S524" s="2"/>
      <c r="T524" s="100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IU524" s="2"/>
      <c r="IV524" s="2"/>
      <c r="IW524" s="2"/>
      <c r="IX524" s="2"/>
      <c r="IY524" s="2"/>
      <c r="IZ524" s="2"/>
      <c r="JA524" s="2"/>
      <c r="JB524" s="2"/>
      <c r="J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I525" s="5"/>
      <c r="J525" s="211"/>
      <c r="K525" s="5"/>
      <c r="L525" s="5"/>
      <c r="N525" s="2"/>
      <c r="O525" s="2"/>
      <c r="P525" s="2"/>
      <c r="Q525" s="2"/>
      <c r="R525" s="2"/>
      <c r="S525" s="2"/>
      <c r="T525" s="7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IU525" s="2"/>
      <c r="IV525" s="2"/>
      <c r="IW525" s="2"/>
      <c r="IX525" s="2"/>
      <c r="IY525" s="2"/>
      <c r="IZ525" s="2"/>
      <c r="JA525" s="2"/>
      <c r="JB525" s="2"/>
      <c r="J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I526" s="209"/>
      <c r="J526" s="210"/>
      <c r="K526" s="209"/>
      <c r="L526" s="209"/>
      <c r="N526" s="2"/>
      <c r="O526" s="2"/>
      <c r="P526" s="2"/>
      <c r="Q526" s="2"/>
      <c r="R526" s="2"/>
      <c r="S526" s="2"/>
      <c r="T526" s="100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IU526" s="2"/>
      <c r="IV526" s="2"/>
      <c r="IW526" s="2"/>
      <c r="IX526" s="2"/>
      <c r="IY526" s="2"/>
      <c r="IZ526" s="2"/>
      <c r="JA526" s="2"/>
      <c r="JB526" s="2"/>
      <c r="J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I527" s="5"/>
      <c r="J527" s="211"/>
      <c r="K527" s="5"/>
      <c r="L527" s="5"/>
      <c r="N527" s="2"/>
      <c r="O527" s="2"/>
      <c r="P527" s="2"/>
      <c r="Q527" s="2"/>
      <c r="R527" s="2"/>
      <c r="S527" s="2"/>
      <c r="T527" s="7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IU527" s="2"/>
      <c r="IV527" s="2"/>
      <c r="IW527" s="2"/>
      <c r="IX527" s="2"/>
      <c r="IY527" s="2"/>
      <c r="IZ527" s="2"/>
      <c r="JA527" s="2"/>
      <c r="JB527" s="2"/>
      <c r="J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I528" s="209"/>
      <c r="J528" s="210"/>
      <c r="K528" s="209"/>
      <c r="L528" s="209"/>
      <c r="N528" s="2"/>
      <c r="O528" s="2"/>
      <c r="P528" s="2"/>
      <c r="Q528" s="2"/>
      <c r="R528" s="2"/>
      <c r="S528" s="2"/>
      <c r="T528" s="3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IU528" s="2"/>
      <c r="IV528" s="2"/>
      <c r="IW528" s="2"/>
      <c r="IX528" s="2"/>
      <c r="IY528" s="2"/>
      <c r="IZ528" s="2"/>
      <c r="JA528" s="2"/>
      <c r="JB528" s="2"/>
      <c r="J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I529" s="5"/>
      <c r="J529" s="211"/>
      <c r="K529" s="5"/>
      <c r="L529" s="5"/>
      <c r="N529" s="2"/>
      <c r="O529" s="2"/>
      <c r="P529" s="2"/>
      <c r="Q529" s="2"/>
      <c r="R529" s="2"/>
      <c r="S529" s="2"/>
      <c r="T529" s="10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IU529" s="2"/>
      <c r="IV529" s="2"/>
      <c r="IW529" s="2"/>
      <c r="IX529" s="2"/>
      <c r="IY529" s="2"/>
      <c r="IZ529" s="2"/>
      <c r="JA529" s="2"/>
      <c r="JB529" s="2"/>
      <c r="J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I530" s="209"/>
      <c r="J530" s="210"/>
      <c r="K530" s="209"/>
      <c r="L530" s="209"/>
      <c r="N530" s="2"/>
      <c r="O530" s="2"/>
      <c r="P530" s="2"/>
      <c r="Q530" s="2"/>
      <c r="R530" s="2"/>
      <c r="S530" s="2"/>
      <c r="T530" s="10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IU530" s="2"/>
      <c r="IV530" s="2"/>
      <c r="IW530" s="2"/>
      <c r="IX530" s="2"/>
      <c r="IY530" s="2"/>
      <c r="IZ530" s="2"/>
      <c r="JA530" s="2"/>
      <c r="JB530" s="2"/>
      <c r="J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I531" s="5"/>
      <c r="J531" s="211"/>
      <c r="K531" s="5"/>
      <c r="L531" s="5"/>
      <c r="N531" s="2"/>
      <c r="O531" s="2"/>
      <c r="P531" s="2"/>
      <c r="Q531" s="2"/>
      <c r="R531" s="2"/>
      <c r="S531" s="2"/>
      <c r="T531" s="10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IU531" s="2"/>
      <c r="IV531" s="2"/>
      <c r="IW531" s="2"/>
      <c r="IX531" s="2"/>
      <c r="IY531" s="2"/>
      <c r="IZ531" s="2"/>
      <c r="JA531" s="2"/>
      <c r="JB531" s="2"/>
      <c r="J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I532" s="209"/>
      <c r="J532" s="210"/>
      <c r="K532" s="209"/>
      <c r="L532" s="209"/>
      <c r="N532" s="2"/>
      <c r="O532" s="2"/>
      <c r="P532" s="2"/>
      <c r="Q532" s="2"/>
      <c r="R532" s="2"/>
      <c r="S532" s="2"/>
      <c r="T532" s="10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IU532" s="2"/>
      <c r="IV532" s="2"/>
      <c r="IW532" s="2"/>
      <c r="IX532" s="2"/>
      <c r="IY532" s="2"/>
      <c r="IZ532" s="2"/>
      <c r="JA532" s="2"/>
      <c r="JB532" s="2"/>
      <c r="J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I533" s="5"/>
      <c r="J533" s="211"/>
      <c r="K533" s="5"/>
      <c r="L533" s="5"/>
      <c r="N533" s="2"/>
      <c r="O533" s="2"/>
      <c r="P533" s="2"/>
      <c r="Q533" s="2"/>
      <c r="R533" s="2"/>
      <c r="S533" s="2"/>
      <c r="T533" s="7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IU533" s="2"/>
      <c r="IV533" s="2"/>
      <c r="IW533" s="2"/>
      <c r="IX533" s="2"/>
      <c r="IY533" s="2"/>
      <c r="IZ533" s="2"/>
      <c r="JA533" s="2"/>
      <c r="JB533" s="2"/>
      <c r="J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I534" s="209"/>
      <c r="J534" s="210"/>
      <c r="K534" s="209"/>
      <c r="L534" s="209"/>
      <c r="N534" s="2"/>
      <c r="O534" s="2"/>
      <c r="P534" s="2"/>
      <c r="Q534" s="2"/>
      <c r="R534" s="2"/>
      <c r="S534" s="2"/>
      <c r="T534" s="100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IU534" s="2"/>
      <c r="IV534" s="2"/>
      <c r="IW534" s="2"/>
      <c r="IX534" s="2"/>
      <c r="IY534" s="2"/>
      <c r="IZ534" s="2"/>
      <c r="JA534" s="2"/>
      <c r="JB534" s="2"/>
      <c r="J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I535" s="5"/>
      <c r="J535" s="211"/>
      <c r="K535" s="5"/>
      <c r="L535" s="5"/>
      <c r="N535" s="2"/>
      <c r="O535" s="2"/>
      <c r="P535" s="2"/>
      <c r="Q535" s="2"/>
      <c r="R535" s="2"/>
      <c r="S535" s="2"/>
      <c r="T535" s="7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IU535" s="2"/>
      <c r="IV535" s="2"/>
      <c r="IW535" s="2"/>
      <c r="IX535" s="2"/>
      <c r="IY535" s="2"/>
      <c r="IZ535" s="2"/>
      <c r="JA535" s="2"/>
      <c r="JB535" s="2"/>
      <c r="J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I536" s="209"/>
      <c r="J536" s="210"/>
      <c r="K536" s="209"/>
      <c r="L536" s="209"/>
      <c r="N536" s="2"/>
      <c r="O536" s="2"/>
      <c r="P536" s="2"/>
      <c r="Q536" s="2"/>
      <c r="R536" s="2"/>
      <c r="S536" s="2"/>
      <c r="T536" s="100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IU536" s="2"/>
      <c r="IV536" s="2"/>
      <c r="IW536" s="2"/>
      <c r="IX536" s="2"/>
      <c r="IY536" s="2"/>
      <c r="IZ536" s="2"/>
      <c r="JA536" s="2"/>
      <c r="JB536" s="2"/>
      <c r="J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I537" s="5"/>
      <c r="J537" s="211"/>
      <c r="K537" s="5"/>
      <c r="L537" s="5"/>
      <c r="N537" s="2"/>
      <c r="O537" s="2"/>
      <c r="P537" s="2"/>
      <c r="Q537" s="2"/>
      <c r="R537" s="2"/>
      <c r="S537" s="2"/>
      <c r="T537" s="7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IU537" s="2"/>
      <c r="IV537" s="2"/>
      <c r="IW537" s="2"/>
      <c r="IX537" s="2"/>
      <c r="IY537" s="2"/>
      <c r="IZ537" s="2"/>
      <c r="JA537" s="2"/>
      <c r="JB537" s="2"/>
      <c r="J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I538" s="209"/>
      <c r="J538" s="210"/>
      <c r="K538" s="209"/>
      <c r="L538" s="209"/>
      <c r="N538" s="2"/>
      <c r="O538" s="2"/>
      <c r="P538" s="2"/>
      <c r="Q538" s="2"/>
      <c r="R538" s="2"/>
      <c r="S538" s="2"/>
      <c r="T538" s="100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IU538" s="2"/>
      <c r="IV538" s="2"/>
      <c r="IW538" s="2"/>
      <c r="IX538" s="2"/>
      <c r="IY538" s="2"/>
      <c r="IZ538" s="2"/>
      <c r="JA538" s="2"/>
      <c r="JB538" s="2"/>
      <c r="J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I539" s="5"/>
      <c r="J539" s="211"/>
      <c r="K539" s="5"/>
      <c r="L539" s="5"/>
      <c r="N539" s="2"/>
      <c r="O539" s="2"/>
      <c r="P539" s="2"/>
      <c r="Q539" s="2"/>
      <c r="R539" s="2"/>
      <c r="S539" s="2"/>
      <c r="T539" s="7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IU539" s="2"/>
      <c r="IV539" s="2"/>
      <c r="IW539" s="2"/>
      <c r="IX539" s="2"/>
      <c r="IY539" s="2"/>
      <c r="IZ539" s="2"/>
      <c r="JA539" s="2"/>
      <c r="JB539" s="2"/>
      <c r="J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I540" s="209"/>
      <c r="J540" s="210"/>
      <c r="K540" s="209"/>
      <c r="L540" s="209"/>
      <c r="N540" s="2"/>
      <c r="O540" s="2"/>
      <c r="P540" s="2"/>
      <c r="Q540" s="2"/>
      <c r="R540" s="2"/>
      <c r="S540" s="2"/>
      <c r="T540" s="100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IU540" s="2"/>
      <c r="IV540" s="2"/>
      <c r="IW540" s="2"/>
      <c r="IX540" s="2"/>
      <c r="IY540" s="2"/>
      <c r="IZ540" s="2"/>
      <c r="JA540" s="2"/>
      <c r="JB540" s="2"/>
      <c r="J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I541" s="5"/>
      <c r="J541" s="211"/>
      <c r="K541" s="5"/>
      <c r="L541" s="5"/>
      <c r="N541" s="2"/>
      <c r="O541" s="2"/>
      <c r="P541" s="2"/>
      <c r="Q541" s="2"/>
      <c r="R541" s="2"/>
      <c r="S541" s="2"/>
      <c r="T541" s="7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IU541" s="2"/>
      <c r="IV541" s="2"/>
      <c r="IW541" s="2"/>
      <c r="IX541" s="2"/>
      <c r="IY541" s="2"/>
      <c r="IZ541" s="2"/>
      <c r="JA541" s="2"/>
      <c r="JB541" s="2"/>
      <c r="J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I542" s="209"/>
      <c r="J542" s="210"/>
      <c r="K542" s="209"/>
      <c r="L542" s="209"/>
      <c r="N542" s="2"/>
      <c r="O542" s="2"/>
      <c r="P542" s="2"/>
      <c r="Q542" s="2"/>
      <c r="R542" s="2"/>
      <c r="S542" s="2"/>
      <c r="T542" s="100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IU542" s="2"/>
      <c r="IV542" s="2"/>
      <c r="IW542" s="2"/>
      <c r="IX542" s="2"/>
      <c r="IY542" s="2"/>
      <c r="IZ542" s="2"/>
      <c r="JA542" s="2"/>
      <c r="JB542" s="2"/>
      <c r="J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I543" s="5"/>
      <c r="J543" s="211"/>
      <c r="K543" s="5"/>
      <c r="L543" s="5"/>
      <c r="N543" s="2"/>
      <c r="O543" s="2"/>
      <c r="P543" s="2"/>
      <c r="Q543" s="2"/>
      <c r="R543" s="2"/>
      <c r="S543" s="2"/>
      <c r="T543" s="7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IU543" s="2"/>
      <c r="IV543" s="2"/>
      <c r="IW543" s="2"/>
      <c r="IX543" s="2"/>
      <c r="IY543" s="2"/>
      <c r="IZ543" s="2"/>
      <c r="JA543" s="2"/>
      <c r="JB543" s="2"/>
      <c r="J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I544" s="209"/>
      <c r="J544" s="210"/>
      <c r="K544" s="209"/>
      <c r="L544" s="209"/>
      <c r="N544" s="2"/>
      <c r="O544" s="2"/>
      <c r="P544" s="2"/>
      <c r="Q544" s="2"/>
      <c r="R544" s="2"/>
      <c r="S544" s="2"/>
      <c r="T544" s="3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IU544" s="2"/>
      <c r="IV544" s="2"/>
      <c r="IW544" s="2"/>
      <c r="IX544" s="2"/>
      <c r="IY544" s="2"/>
      <c r="IZ544" s="2"/>
      <c r="JA544" s="2"/>
      <c r="JB544" s="2"/>
      <c r="J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I545" s="5"/>
      <c r="J545" s="211"/>
      <c r="K545" s="5"/>
      <c r="L545" s="5"/>
      <c r="N545" s="2"/>
      <c r="O545" s="2"/>
      <c r="P545" s="2"/>
      <c r="Q545" s="2"/>
      <c r="R545" s="2"/>
      <c r="S545" s="2"/>
      <c r="T545" s="10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IU545" s="2"/>
      <c r="IV545" s="2"/>
      <c r="IW545" s="2"/>
      <c r="IX545" s="2"/>
      <c r="IY545" s="2"/>
      <c r="IZ545" s="2"/>
      <c r="JA545" s="2"/>
      <c r="JB545" s="2"/>
      <c r="J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I546" s="209"/>
      <c r="J546" s="210"/>
      <c r="K546" s="209"/>
      <c r="L546" s="209"/>
      <c r="N546" s="2"/>
      <c r="O546" s="2"/>
      <c r="P546" s="2"/>
      <c r="Q546" s="2"/>
      <c r="R546" s="2"/>
      <c r="S546" s="2"/>
      <c r="T546" s="10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IU546" s="2"/>
      <c r="IV546" s="2"/>
      <c r="IW546" s="2"/>
      <c r="IX546" s="2"/>
      <c r="IY546" s="2"/>
      <c r="IZ546" s="2"/>
      <c r="JA546" s="2"/>
      <c r="JB546" s="2"/>
      <c r="J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I547" s="5"/>
      <c r="J547" s="211"/>
      <c r="K547" s="5"/>
      <c r="L547" s="5"/>
      <c r="N547" s="2"/>
      <c r="O547" s="2"/>
      <c r="P547" s="2"/>
      <c r="Q547" s="2"/>
      <c r="R547" s="2"/>
      <c r="S547" s="2"/>
      <c r="T547" s="10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IU547" s="2"/>
      <c r="IV547" s="2"/>
      <c r="IW547" s="2"/>
      <c r="IX547" s="2"/>
      <c r="IY547" s="2"/>
      <c r="IZ547" s="2"/>
      <c r="JA547" s="2"/>
      <c r="JB547" s="2"/>
      <c r="J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I548" s="209"/>
      <c r="J548" s="210"/>
      <c r="K548" s="209"/>
      <c r="L548" s="209"/>
      <c r="N548" s="2"/>
      <c r="O548" s="2"/>
      <c r="P548" s="2"/>
      <c r="Q548" s="2"/>
      <c r="R548" s="2"/>
      <c r="S548" s="2"/>
      <c r="T548" s="10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IU548" s="2"/>
      <c r="IV548" s="2"/>
      <c r="IW548" s="2"/>
      <c r="IX548" s="2"/>
      <c r="IY548" s="2"/>
      <c r="IZ548" s="2"/>
      <c r="JA548" s="2"/>
      <c r="JB548" s="2"/>
      <c r="J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I549" s="5"/>
      <c r="J549" s="211"/>
      <c r="K549" s="5"/>
      <c r="L549" s="5"/>
      <c r="N549" s="2"/>
      <c r="O549" s="2"/>
      <c r="P549" s="2"/>
      <c r="Q549" s="2"/>
      <c r="R549" s="2"/>
      <c r="S549" s="2"/>
      <c r="T549" s="7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IU549" s="2"/>
      <c r="IV549" s="2"/>
      <c r="IW549" s="2"/>
      <c r="IX549" s="2"/>
      <c r="IY549" s="2"/>
      <c r="IZ549" s="2"/>
      <c r="JA549" s="2"/>
      <c r="JB549" s="2"/>
      <c r="J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I550" s="209"/>
      <c r="J550" s="210"/>
      <c r="K550" s="209"/>
      <c r="L550" s="209"/>
      <c r="N550" s="2"/>
      <c r="O550" s="2"/>
      <c r="P550" s="2"/>
      <c r="Q550" s="2"/>
      <c r="R550" s="2"/>
      <c r="S550" s="2"/>
      <c r="T550" s="100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IU550" s="2"/>
      <c r="IV550" s="2"/>
      <c r="IW550" s="2"/>
      <c r="IX550" s="2"/>
      <c r="IY550" s="2"/>
      <c r="IZ550" s="2"/>
      <c r="JA550" s="2"/>
      <c r="JB550" s="2"/>
      <c r="J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I551" s="5"/>
      <c r="J551" s="211"/>
      <c r="K551" s="5"/>
      <c r="L551" s="5"/>
      <c r="N551" s="2"/>
      <c r="O551" s="2"/>
      <c r="P551" s="2"/>
      <c r="Q551" s="2"/>
      <c r="R551" s="2"/>
      <c r="S551" s="2"/>
      <c r="T551" s="7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IU551" s="2"/>
      <c r="IV551" s="2"/>
      <c r="IW551" s="2"/>
      <c r="IX551" s="2"/>
      <c r="IY551" s="2"/>
      <c r="IZ551" s="2"/>
      <c r="JA551" s="2"/>
      <c r="JB551" s="2"/>
      <c r="J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I552" s="209"/>
      <c r="J552" s="210"/>
      <c r="K552" s="209"/>
      <c r="L552" s="209"/>
      <c r="N552" s="2"/>
      <c r="O552" s="2"/>
      <c r="P552" s="2"/>
      <c r="Q552" s="2"/>
      <c r="R552" s="2"/>
      <c r="S552" s="2"/>
      <c r="T552" s="100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IU552" s="2"/>
      <c r="IV552" s="2"/>
      <c r="IW552" s="2"/>
      <c r="IX552" s="2"/>
      <c r="IY552" s="2"/>
      <c r="IZ552" s="2"/>
      <c r="JA552" s="2"/>
      <c r="JB552" s="2"/>
      <c r="J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I553" s="5"/>
      <c r="J553" s="211"/>
      <c r="K553" s="5"/>
      <c r="L553" s="5"/>
      <c r="N553" s="2"/>
      <c r="O553" s="2"/>
      <c r="P553" s="2"/>
      <c r="Q553" s="2"/>
      <c r="R553" s="2"/>
      <c r="S553" s="2"/>
      <c r="T553" s="7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IU553" s="2"/>
      <c r="IV553" s="2"/>
      <c r="IW553" s="2"/>
      <c r="IX553" s="2"/>
      <c r="IY553" s="2"/>
      <c r="IZ553" s="2"/>
      <c r="JA553" s="2"/>
      <c r="JB553" s="2"/>
      <c r="J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I554" s="209"/>
      <c r="J554" s="210"/>
      <c r="K554" s="209"/>
      <c r="L554" s="209"/>
      <c r="N554" s="2"/>
      <c r="O554" s="2"/>
      <c r="P554" s="2"/>
      <c r="Q554" s="2"/>
      <c r="R554" s="2"/>
      <c r="S554" s="2"/>
      <c r="T554" s="100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IU554" s="2"/>
      <c r="IV554" s="2"/>
      <c r="IW554" s="2"/>
      <c r="IX554" s="2"/>
      <c r="IY554" s="2"/>
      <c r="IZ554" s="2"/>
      <c r="JA554" s="2"/>
      <c r="JB554" s="2"/>
      <c r="J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I555" s="5"/>
      <c r="J555" s="211"/>
      <c r="K555" s="5"/>
      <c r="L555" s="5"/>
      <c r="N555" s="2"/>
      <c r="O555" s="2"/>
      <c r="P555" s="2"/>
      <c r="Q555" s="2"/>
      <c r="R555" s="2"/>
      <c r="S555" s="2"/>
      <c r="T555" s="7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IU555" s="2"/>
      <c r="IV555" s="2"/>
      <c r="IW555" s="2"/>
      <c r="IX555" s="2"/>
      <c r="IY555" s="2"/>
      <c r="IZ555" s="2"/>
      <c r="JA555" s="2"/>
      <c r="JB555" s="2"/>
      <c r="J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I556" s="209"/>
      <c r="J556" s="210"/>
      <c r="K556" s="209"/>
      <c r="L556" s="209"/>
      <c r="N556" s="2"/>
      <c r="O556" s="2"/>
      <c r="P556" s="2"/>
      <c r="Q556" s="2"/>
      <c r="R556" s="2"/>
      <c r="S556" s="2"/>
      <c r="T556" s="100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IU556" s="2"/>
      <c r="IV556" s="2"/>
      <c r="IW556" s="2"/>
      <c r="IX556" s="2"/>
      <c r="IY556" s="2"/>
      <c r="IZ556" s="2"/>
      <c r="JA556" s="2"/>
      <c r="JB556" s="2"/>
      <c r="J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I557" s="5"/>
      <c r="J557" s="211"/>
      <c r="K557" s="5"/>
      <c r="L557" s="5"/>
      <c r="N557" s="2"/>
      <c r="O557" s="2"/>
      <c r="P557" s="2"/>
      <c r="Q557" s="2"/>
      <c r="R557" s="2"/>
      <c r="S557" s="2"/>
      <c r="T557" s="7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IU557" s="2"/>
      <c r="IV557" s="2"/>
      <c r="IW557" s="2"/>
      <c r="IX557" s="2"/>
      <c r="IY557" s="2"/>
      <c r="IZ557" s="2"/>
      <c r="JA557" s="2"/>
      <c r="JB557" s="2"/>
      <c r="J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I558" s="209"/>
      <c r="J558" s="210"/>
      <c r="K558" s="209"/>
      <c r="L558" s="209"/>
      <c r="N558" s="2"/>
      <c r="O558" s="2"/>
      <c r="P558" s="2"/>
      <c r="Q558" s="2"/>
      <c r="R558" s="2"/>
      <c r="S558" s="2"/>
      <c r="T558" s="100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IU558" s="2"/>
      <c r="IV558" s="2"/>
      <c r="IW558" s="2"/>
      <c r="IX558" s="2"/>
      <c r="IY558" s="2"/>
      <c r="IZ558" s="2"/>
      <c r="JA558" s="2"/>
      <c r="JB558" s="2"/>
      <c r="J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I559" s="5"/>
      <c r="J559" s="211"/>
      <c r="K559" s="5"/>
      <c r="L559" s="5"/>
      <c r="N559" s="2"/>
      <c r="O559" s="2"/>
      <c r="P559" s="2"/>
      <c r="Q559" s="2"/>
      <c r="R559" s="2"/>
      <c r="S559" s="2"/>
      <c r="T559" s="7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IU559" s="2"/>
      <c r="IV559" s="2"/>
      <c r="IW559" s="2"/>
      <c r="IX559" s="2"/>
      <c r="IY559" s="2"/>
      <c r="IZ559" s="2"/>
      <c r="JA559" s="2"/>
      <c r="JB559" s="2"/>
      <c r="J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I560" s="209"/>
      <c r="J560" s="210"/>
      <c r="K560" s="209"/>
      <c r="L560" s="209"/>
      <c r="N560" s="2"/>
      <c r="O560" s="2"/>
      <c r="P560" s="2"/>
      <c r="Q560" s="2"/>
      <c r="R560" s="2"/>
      <c r="S560" s="2"/>
      <c r="T560" s="3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IU560" s="2"/>
      <c r="IV560" s="2"/>
      <c r="IW560" s="2"/>
      <c r="IX560" s="2"/>
      <c r="IY560" s="2"/>
      <c r="IZ560" s="2"/>
      <c r="JA560" s="2"/>
      <c r="JB560" s="2"/>
      <c r="J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I561" s="5"/>
      <c r="J561" s="211"/>
      <c r="K561" s="5"/>
      <c r="L561" s="5"/>
      <c r="N561" s="2"/>
      <c r="O561" s="2"/>
      <c r="P561" s="2"/>
      <c r="Q561" s="2"/>
      <c r="R561" s="2"/>
      <c r="S561" s="2"/>
      <c r="T561" s="10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IU561" s="2"/>
      <c r="IV561" s="2"/>
      <c r="IW561" s="2"/>
      <c r="IX561" s="2"/>
      <c r="IY561" s="2"/>
      <c r="IZ561" s="2"/>
      <c r="JA561" s="2"/>
      <c r="JB561" s="2"/>
      <c r="J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I562" s="209"/>
      <c r="J562" s="210"/>
      <c r="K562" s="209"/>
      <c r="L562" s="209"/>
      <c r="N562" s="2"/>
      <c r="O562" s="2"/>
      <c r="P562" s="2"/>
      <c r="Q562" s="2"/>
      <c r="R562" s="2"/>
      <c r="S562" s="2"/>
      <c r="T562" s="10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IU562" s="2"/>
      <c r="IV562" s="2"/>
      <c r="IW562" s="2"/>
      <c r="IX562" s="2"/>
      <c r="IY562" s="2"/>
      <c r="IZ562" s="2"/>
      <c r="JA562" s="2"/>
      <c r="JB562" s="2"/>
      <c r="J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I563" s="5"/>
      <c r="J563" s="211"/>
      <c r="K563" s="5"/>
      <c r="L563" s="5"/>
      <c r="N563" s="2"/>
      <c r="O563" s="2"/>
      <c r="P563" s="2"/>
      <c r="Q563" s="2"/>
      <c r="R563" s="2"/>
      <c r="S563" s="2"/>
      <c r="T563" s="10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IU563" s="2"/>
      <c r="IV563" s="2"/>
      <c r="IW563" s="2"/>
      <c r="IX563" s="2"/>
      <c r="IY563" s="2"/>
      <c r="IZ563" s="2"/>
      <c r="JA563" s="2"/>
      <c r="JB563" s="2"/>
      <c r="J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I564" s="209"/>
      <c r="J564" s="210"/>
      <c r="K564" s="209"/>
      <c r="L564" s="209"/>
      <c r="N564" s="2"/>
      <c r="O564" s="2"/>
      <c r="P564" s="2"/>
      <c r="Q564" s="2"/>
      <c r="R564" s="2"/>
      <c r="S564" s="2"/>
      <c r="T564" s="10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IU564" s="2"/>
      <c r="IV564" s="2"/>
      <c r="IW564" s="2"/>
      <c r="IX564" s="2"/>
      <c r="IY564" s="2"/>
      <c r="IZ564" s="2"/>
      <c r="JA564" s="2"/>
      <c r="JB564" s="2"/>
      <c r="J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I565" s="5"/>
      <c r="J565" s="211"/>
      <c r="K565" s="5"/>
      <c r="L565" s="5"/>
      <c r="N565" s="2"/>
      <c r="O565" s="2"/>
      <c r="P565" s="2"/>
      <c r="Q565" s="2"/>
      <c r="R565" s="2"/>
      <c r="S565" s="2"/>
      <c r="T565" s="7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IU565" s="2"/>
      <c r="IV565" s="2"/>
      <c r="IW565" s="2"/>
      <c r="IX565" s="2"/>
      <c r="IY565" s="2"/>
      <c r="IZ565" s="2"/>
      <c r="JA565" s="2"/>
      <c r="JB565" s="2"/>
      <c r="J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I566" s="209"/>
      <c r="J566" s="210"/>
      <c r="K566" s="209"/>
      <c r="L566" s="209"/>
      <c r="N566" s="2"/>
      <c r="O566" s="2"/>
      <c r="P566" s="2"/>
      <c r="Q566" s="2"/>
      <c r="R566" s="2"/>
      <c r="S566" s="2"/>
      <c r="T566" s="100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IU566" s="2"/>
      <c r="IV566" s="2"/>
      <c r="IW566" s="2"/>
      <c r="IX566" s="2"/>
      <c r="IY566" s="2"/>
      <c r="IZ566" s="2"/>
      <c r="JA566" s="2"/>
      <c r="JB566" s="2"/>
      <c r="J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I567" s="5"/>
      <c r="J567" s="211"/>
      <c r="K567" s="5"/>
      <c r="L567" s="5"/>
      <c r="N567" s="2"/>
      <c r="O567" s="2"/>
      <c r="P567" s="2"/>
      <c r="Q567" s="2"/>
      <c r="R567" s="2"/>
      <c r="S567" s="2"/>
      <c r="T567" s="7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IU567" s="2"/>
      <c r="IV567" s="2"/>
      <c r="IW567" s="2"/>
      <c r="IX567" s="2"/>
      <c r="IY567" s="2"/>
      <c r="IZ567" s="2"/>
      <c r="JA567" s="2"/>
      <c r="JB567" s="2"/>
      <c r="J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I568" s="209"/>
      <c r="J568" s="210"/>
      <c r="K568" s="209"/>
      <c r="L568" s="209"/>
      <c r="N568" s="2"/>
      <c r="O568" s="2"/>
      <c r="P568" s="2"/>
      <c r="Q568" s="2"/>
      <c r="R568" s="2"/>
      <c r="S568" s="2"/>
      <c r="T568" s="100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IU568" s="2"/>
      <c r="IV568" s="2"/>
      <c r="IW568" s="2"/>
      <c r="IX568" s="2"/>
      <c r="IY568" s="2"/>
      <c r="IZ568" s="2"/>
      <c r="JA568" s="2"/>
      <c r="JB568" s="2"/>
      <c r="J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I569" s="5"/>
      <c r="J569" s="211"/>
      <c r="K569" s="5"/>
      <c r="L569" s="5"/>
      <c r="N569" s="2"/>
      <c r="O569" s="2"/>
      <c r="P569" s="2"/>
      <c r="Q569" s="2"/>
      <c r="R569" s="2"/>
      <c r="S569" s="2"/>
      <c r="T569" s="7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IU569" s="2"/>
      <c r="IV569" s="2"/>
      <c r="IW569" s="2"/>
      <c r="IX569" s="2"/>
      <c r="IY569" s="2"/>
      <c r="IZ569" s="2"/>
      <c r="JA569" s="2"/>
      <c r="JB569" s="2"/>
      <c r="J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I570" s="209"/>
      <c r="J570" s="210"/>
      <c r="K570" s="209"/>
      <c r="L570" s="209"/>
      <c r="N570" s="2"/>
      <c r="O570" s="2"/>
      <c r="P570" s="2"/>
      <c r="Q570" s="2"/>
      <c r="R570" s="2"/>
      <c r="S570" s="2"/>
      <c r="T570" s="100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IU570" s="2"/>
      <c r="IV570" s="2"/>
      <c r="IW570" s="2"/>
      <c r="IX570" s="2"/>
      <c r="IY570" s="2"/>
      <c r="IZ570" s="2"/>
      <c r="JA570" s="2"/>
      <c r="JB570" s="2"/>
      <c r="J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I571" s="5"/>
      <c r="J571" s="211"/>
      <c r="K571" s="5"/>
      <c r="L571" s="5"/>
      <c r="N571" s="2"/>
      <c r="O571" s="2"/>
      <c r="P571" s="2"/>
      <c r="Q571" s="2"/>
      <c r="R571" s="2"/>
      <c r="S571" s="2"/>
      <c r="T571" s="7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IU571" s="2"/>
      <c r="IV571" s="2"/>
      <c r="IW571" s="2"/>
      <c r="IX571" s="2"/>
      <c r="IY571" s="2"/>
      <c r="IZ571" s="2"/>
      <c r="JA571" s="2"/>
      <c r="JB571" s="2"/>
      <c r="J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I572" s="209"/>
      <c r="J572" s="210"/>
      <c r="K572" s="209"/>
      <c r="L572" s="209"/>
      <c r="N572" s="2"/>
      <c r="O572" s="2"/>
      <c r="P572" s="2"/>
      <c r="Q572" s="2"/>
      <c r="R572" s="2"/>
      <c r="S572" s="2"/>
      <c r="T572" s="100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IU572" s="2"/>
      <c r="IV572" s="2"/>
      <c r="IW572" s="2"/>
      <c r="IX572" s="2"/>
      <c r="IY572" s="2"/>
      <c r="IZ572" s="2"/>
      <c r="JA572" s="2"/>
      <c r="JB572" s="2"/>
      <c r="J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I573" s="5"/>
      <c r="J573" s="211"/>
      <c r="K573" s="5"/>
      <c r="L573" s="5"/>
      <c r="N573" s="2"/>
      <c r="O573" s="2"/>
      <c r="P573" s="2"/>
      <c r="Q573" s="2"/>
      <c r="R573" s="2"/>
      <c r="S573" s="2"/>
      <c r="T573" s="7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IU573" s="2"/>
      <c r="IV573" s="2"/>
      <c r="IW573" s="2"/>
      <c r="IX573" s="2"/>
      <c r="IY573" s="2"/>
      <c r="IZ573" s="2"/>
      <c r="JA573" s="2"/>
      <c r="JB573" s="2"/>
      <c r="J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I574" s="209"/>
      <c r="J574" s="210"/>
      <c r="K574" s="209"/>
      <c r="L574" s="209"/>
      <c r="N574" s="2"/>
      <c r="O574" s="2"/>
      <c r="P574" s="2"/>
      <c r="Q574" s="2"/>
      <c r="R574" s="2"/>
      <c r="S574" s="2"/>
      <c r="T574" s="100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IU574" s="2"/>
      <c r="IV574" s="2"/>
      <c r="IW574" s="2"/>
      <c r="IX574" s="2"/>
      <c r="IY574" s="2"/>
      <c r="IZ574" s="2"/>
      <c r="JA574" s="2"/>
      <c r="JB574" s="2"/>
      <c r="J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I575" s="5"/>
      <c r="J575" s="211"/>
      <c r="K575" s="5"/>
      <c r="L575" s="5"/>
      <c r="N575" s="2"/>
      <c r="O575" s="2"/>
      <c r="P575" s="2"/>
      <c r="Q575" s="2"/>
      <c r="R575" s="2"/>
      <c r="S575" s="2"/>
      <c r="T575" s="7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IU575" s="2"/>
      <c r="IV575" s="2"/>
      <c r="IW575" s="2"/>
      <c r="IX575" s="2"/>
      <c r="IY575" s="2"/>
      <c r="IZ575" s="2"/>
      <c r="JA575" s="2"/>
      <c r="JB575" s="2"/>
      <c r="J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I576" s="209"/>
      <c r="J576" s="210"/>
      <c r="K576" s="209"/>
      <c r="L576" s="209"/>
      <c r="N576" s="2"/>
      <c r="O576" s="2"/>
      <c r="P576" s="2"/>
      <c r="Q576" s="2"/>
      <c r="R576" s="2"/>
      <c r="S576" s="2"/>
      <c r="T576" s="3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IU576" s="2"/>
      <c r="IV576" s="2"/>
      <c r="IW576" s="2"/>
      <c r="IX576" s="2"/>
      <c r="IY576" s="2"/>
      <c r="IZ576" s="2"/>
      <c r="JA576" s="2"/>
      <c r="JB576" s="2"/>
      <c r="J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I577" s="5"/>
      <c r="J577" s="211"/>
      <c r="K577" s="5"/>
      <c r="L577" s="5"/>
      <c r="N577" s="2"/>
      <c r="O577" s="2"/>
      <c r="P577" s="2"/>
      <c r="Q577" s="2"/>
      <c r="R577" s="2"/>
      <c r="S577" s="2"/>
      <c r="T577" s="10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IU577" s="2"/>
      <c r="IV577" s="2"/>
      <c r="IW577" s="2"/>
      <c r="IX577" s="2"/>
      <c r="IY577" s="2"/>
      <c r="IZ577" s="2"/>
      <c r="JA577" s="2"/>
      <c r="JB577" s="2"/>
      <c r="J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I578" s="209"/>
      <c r="J578" s="210"/>
      <c r="K578" s="209"/>
      <c r="L578" s="209"/>
      <c r="N578" s="2"/>
      <c r="O578" s="2"/>
      <c r="P578" s="2"/>
      <c r="Q578" s="2"/>
      <c r="R578" s="2"/>
      <c r="S578" s="2"/>
      <c r="T578" s="10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IU578" s="2"/>
      <c r="IV578" s="2"/>
      <c r="IW578" s="2"/>
      <c r="IX578" s="2"/>
      <c r="IY578" s="2"/>
      <c r="IZ578" s="2"/>
      <c r="JA578" s="2"/>
      <c r="JB578" s="2"/>
      <c r="J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I579" s="5"/>
      <c r="J579" s="211"/>
      <c r="K579" s="5"/>
      <c r="L579" s="5"/>
      <c r="N579" s="2"/>
      <c r="O579" s="2"/>
      <c r="P579" s="2"/>
      <c r="Q579" s="2"/>
      <c r="R579" s="2"/>
      <c r="S579" s="2"/>
      <c r="T579" s="10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IU579" s="2"/>
      <c r="IV579" s="2"/>
      <c r="IW579" s="2"/>
      <c r="IX579" s="2"/>
      <c r="IY579" s="2"/>
      <c r="IZ579" s="2"/>
      <c r="JA579" s="2"/>
      <c r="JB579" s="2"/>
      <c r="J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I580" s="209"/>
      <c r="J580" s="210"/>
      <c r="K580" s="209"/>
      <c r="L580" s="209"/>
      <c r="N580" s="2"/>
      <c r="O580" s="2"/>
      <c r="P580" s="2"/>
      <c r="Q580" s="2"/>
      <c r="R580" s="2"/>
      <c r="S580" s="2"/>
      <c r="T580" s="10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IU580" s="2"/>
      <c r="IV580" s="2"/>
      <c r="IW580" s="2"/>
      <c r="IX580" s="2"/>
      <c r="IY580" s="2"/>
      <c r="IZ580" s="2"/>
      <c r="JA580" s="2"/>
      <c r="JB580" s="2"/>
      <c r="J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I581" s="5"/>
      <c r="J581" s="211"/>
      <c r="K581" s="5"/>
      <c r="L581" s="5"/>
      <c r="N581" s="2"/>
      <c r="O581" s="2"/>
      <c r="P581" s="2"/>
      <c r="Q581" s="2"/>
      <c r="R581" s="2"/>
      <c r="S581" s="2"/>
      <c r="T581" s="10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IU581" s="2"/>
      <c r="IV581" s="2"/>
      <c r="IW581" s="2"/>
      <c r="IX581" s="2"/>
      <c r="IY581" s="2"/>
      <c r="IZ581" s="2"/>
      <c r="JA581" s="2"/>
      <c r="JB581" s="2"/>
      <c r="J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I582" s="209"/>
      <c r="J582" s="210"/>
      <c r="K582" s="209"/>
      <c r="L582" s="209"/>
      <c r="N582" s="2"/>
      <c r="O582" s="2"/>
      <c r="P582" s="2"/>
      <c r="Q582" s="2"/>
      <c r="R582" s="2"/>
      <c r="S582" s="2"/>
      <c r="T582" s="10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IU582" s="2"/>
      <c r="IV582" s="2"/>
      <c r="IW582" s="2"/>
      <c r="IX582" s="2"/>
      <c r="IY582" s="2"/>
      <c r="IZ582" s="2"/>
      <c r="JA582" s="2"/>
      <c r="JB582" s="2"/>
      <c r="J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I583" s="5"/>
      <c r="J583" s="211"/>
      <c r="K583" s="5"/>
      <c r="L583" s="5"/>
      <c r="N583" s="2"/>
      <c r="O583" s="2"/>
      <c r="P583" s="2"/>
      <c r="Q583" s="2"/>
      <c r="R583" s="2"/>
      <c r="S583" s="2"/>
      <c r="T583" s="10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IU583" s="2"/>
      <c r="IV583" s="2"/>
      <c r="IW583" s="2"/>
      <c r="IX583" s="2"/>
      <c r="IY583" s="2"/>
      <c r="IZ583" s="2"/>
      <c r="JA583" s="2"/>
      <c r="JB583" s="2"/>
      <c r="J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I584" s="209"/>
      <c r="J584" s="210"/>
      <c r="K584" s="209"/>
      <c r="L584" s="209"/>
      <c r="N584" s="2"/>
      <c r="O584" s="2"/>
      <c r="P584" s="2"/>
      <c r="Q584" s="2"/>
      <c r="R584" s="2"/>
      <c r="S584" s="2"/>
      <c r="T584" s="10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IU584" s="2"/>
      <c r="IV584" s="2"/>
      <c r="IW584" s="2"/>
      <c r="IX584" s="2"/>
      <c r="IY584" s="2"/>
      <c r="IZ584" s="2"/>
      <c r="JA584" s="2"/>
      <c r="JB584" s="2"/>
      <c r="J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I585" s="5"/>
      <c r="J585" s="211"/>
      <c r="K585" s="5"/>
      <c r="L585" s="5"/>
      <c r="N585" s="2"/>
      <c r="O585" s="2"/>
      <c r="P585" s="2"/>
      <c r="Q585" s="2"/>
      <c r="R585" s="2"/>
      <c r="S585" s="2"/>
      <c r="T585" s="10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IU585" s="2"/>
      <c r="IV585" s="2"/>
      <c r="IW585" s="2"/>
      <c r="IX585" s="2"/>
      <c r="IY585" s="2"/>
      <c r="IZ585" s="2"/>
      <c r="JA585" s="2"/>
      <c r="JB585" s="2"/>
      <c r="J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I586" s="209"/>
      <c r="J586" s="210"/>
      <c r="K586" s="209"/>
      <c r="L586" s="209"/>
      <c r="N586" s="2"/>
      <c r="O586" s="2"/>
      <c r="P586" s="2"/>
      <c r="Q586" s="2"/>
      <c r="R586" s="2"/>
      <c r="S586" s="2"/>
      <c r="T586" s="10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IU586" s="2"/>
      <c r="IV586" s="2"/>
      <c r="IW586" s="2"/>
      <c r="IX586" s="2"/>
      <c r="IY586" s="2"/>
      <c r="IZ586" s="2"/>
      <c r="JA586" s="2"/>
      <c r="JB586" s="2"/>
      <c r="J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I587" s="5"/>
      <c r="J587" s="211"/>
      <c r="K587" s="5"/>
      <c r="L587" s="5"/>
      <c r="N587" s="2"/>
      <c r="O587" s="2"/>
      <c r="P587" s="2"/>
      <c r="Q587" s="2"/>
      <c r="R587" s="2"/>
      <c r="S587" s="2"/>
      <c r="T587" s="10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IU587" s="2"/>
      <c r="IV587" s="2"/>
      <c r="IW587" s="2"/>
      <c r="IX587" s="2"/>
      <c r="IY587" s="2"/>
      <c r="IZ587" s="2"/>
      <c r="JA587" s="2"/>
      <c r="JB587" s="2"/>
      <c r="J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I588" s="209"/>
      <c r="J588" s="210"/>
      <c r="K588" s="209"/>
      <c r="L588" s="209"/>
      <c r="N588" s="2"/>
      <c r="O588" s="2"/>
      <c r="P588" s="2"/>
      <c r="Q588" s="2"/>
      <c r="R588" s="2"/>
      <c r="S588" s="2"/>
      <c r="T588" s="10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IU588" s="2"/>
      <c r="IV588" s="2"/>
      <c r="IW588" s="2"/>
      <c r="IX588" s="2"/>
      <c r="IY588" s="2"/>
      <c r="IZ588" s="2"/>
      <c r="JA588" s="2"/>
      <c r="JB588" s="2"/>
      <c r="J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I589" s="5"/>
      <c r="J589" s="211"/>
      <c r="K589" s="5"/>
      <c r="L589" s="5"/>
      <c r="N589" s="2"/>
      <c r="O589" s="2"/>
      <c r="P589" s="2"/>
      <c r="Q589" s="2"/>
      <c r="R589" s="2"/>
      <c r="S589" s="2"/>
      <c r="T589" s="10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IU589" s="2"/>
      <c r="IV589" s="2"/>
      <c r="IW589" s="2"/>
      <c r="IX589" s="2"/>
      <c r="IY589" s="2"/>
      <c r="IZ589" s="2"/>
      <c r="JA589" s="2"/>
      <c r="JB589" s="2"/>
      <c r="J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I590" s="209"/>
      <c r="J590" s="210"/>
      <c r="K590" s="209"/>
      <c r="L590" s="209"/>
      <c r="N590" s="2"/>
      <c r="O590" s="2"/>
      <c r="P590" s="2"/>
      <c r="Q590" s="2"/>
      <c r="R590" s="2"/>
      <c r="S590" s="2"/>
      <c r="T590" s="10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IU590" s="2"/>
      <c r="IV590" s="2"/>
      <c r="IW590" s="2"/>
      <c r="IX590" s="2"/>
      <c r="IY590" s="2"/>
      <c r="IZ590" s="2"/>
      <c r="JA590" s="2"/>
      <c r="JB590" s="2"/>
      <c r="J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I591" s="5"/>
      <c r="J591" s="211"/>
      <c r="K591" s="5"/>
      <c r="L591" s="5"/>
      <c r="N591" s="2"/>
      <c r="O591" s="2"/>
      <c r="P591" s="2"/>
      <c r="Q591" s="2"/>
      <c r="R591" s="2"/>
      <c r="S591" s="2"/>
      <c r="T591" s="10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IU591" s="2"/>
      <c r="IV591" s="2"/>
      <c r="IW591" s="2"/>
      <c r="IX591" s="2"/>
      <c r="IY591" s="2"/>
      <c r="IZ591" s="2"/>
      <c r="JA591" s="2"/>
      <c r="JB591" s="2"/>
      <c r="J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I592" s="209"/>
      <c r="J592" s="210"/>
      <c r="K592" s="209"/>
      <c r="L592" s="209"/>
      <c r="N592" s="2"/>
      <c r="O592" s="2"/>
      <c r="P592" s="2"/>
      <c r="Q592" s="2"/>
      <c r="R592" s="2"/>
      <c r="S592" s="2"/>
      <c r="T592" s="10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IU592" s="2"/>
      <c r="IV592" s="2"/>
      <c r="IW592" s="2"/>
      <c r="IX592" s="2"/>
      <c r="IY592" s="2"/>
      <c r="IZ592" s="2"/>
      <c r="JA592" s="2"/>
      <c r="JB592" s="2"/>
      <c r="J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I593" s="5"/>
      <c r="J593" s="211"/>
      <c r="K593" s="5"/>
      <c r="L593" s="5"/>
      <c r="N593" s="2"/>
      <c r="O593" s="2"/>
      <c r="P593" s="2"/>
      <c r="Q593" s="2"/>
      <c r="R593" s="2"/>
      <c r="S593" s="2"/>
      <c r="T593" s="10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IU593" s="2"/>
      <c r="IV593" s="2"/>
      <c r="IW593" s="2"/>
      <c r="IX593" s="2"/>
      <c r="IY593" s="2"/>
      <c r="IZ593" s="2"/>
      <c r="JA593" s="2"/>
      <c r="JB593" s="2"/>
      <c r="J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I594" s="209"/>
      <c r="J594" s="210"/>
      <c r="K594" s="209"/>
      <c r="L594" s="209"/>
      <c r="N594" s="2"/>
      <c r="O594" s="2"/>
      <c r="P594" s="2"/>
      <c r="Q594" s="2"/>
      <c r="R594" s="2"/>
      <c r="S594" s="2"/>
      <c r="T594" s="10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IU594" s="2"/>
      <c r="IV594" s="2"/>
      <c r="IW594" s="2"/>
      <c r="IX594" s="2"/>
      <c r="IY594" s="2"/>
      <c r="IZ594" s="2"/>
      <c r="JA594" s="2"/>
      <c r="JB594" s="2"/>
      <c r="J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I595" s="5"/>
      <c r="J595" s="211"/>
      <c r="K595" s="5"/>
      <c r="L595" s="5"/>
      <c r="N595" s="2"/>
      <c r="O595" s="2"/>
      <c r="P595" s="2"/>
      <c r="Q595" s="2"/>
      <c r="R595" s="2"/>
      <c r="S595" s="2"/>
      <c r="T595" s="10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IU595" s="2"/>
      <c r="IV595" s="2"/>
      <c r="IW595" s="2"/>
      <c r="IX595" s="2"/>
      <c r="IY595" s="2"/>
      <c r="IZ595" s="2"/>
      <c r="JA595" s="2"/>
      <c r="JB595" s="2"/>
      <c r="J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I596" s="209"/>
      <c r="J596" s="210"/>
      <c r="K596" s="209"/>
      <c r="L596" s="209"/>
      <c r="N596" s="2"/>
      <c r="O596" s="2"/>
      <c r="P596" s="2"/>
      <c r="Q596" s="2"/>
      <c r="R596" s="2"/>
      <c r="S596" s="2"/>
      <c r="T596" s="10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IU596" s="2"/>
      <c r="IV596" s="2"/>
      <c r="IW596" s="2"/>
      <c r="IX596" s="2"/>
      <c r="IY596" s="2"/>
      <c r="IZ596" s="2"/>
      <c r="JA596" s="2"/>
      <c r="JB596" s="2"/>
      <c r="J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I597" s="5"/>
      <c r="J597" s="211"/>
      <c r="K597" s="5"/>
      <c r="L597" s="5"/>
      <c r="N597" s="2"/>
      <c r="O597" s="2"/>
      <c r="P597" s="2"/>
      <c r="Q597" s="2"/>
      <c r="R597" s="2"/>
      <c r="S597" s="2"/>
      <c r="T597" s="10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IU597" s="2"/>
      <c r="IV597" s="2"/>
      <c r="IW597" s="2"/>
      <c r="IX597" s="2"/>
      <c r="IY597" s="2"/>
      <c r="IZ597" s="2"/>
      <c r="JA597" s="2"/>
      <c r="JB597" s="2"/>
      <c r="J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I598" s="209"/>
      <c r="J598" s="210"/>
      <c r="K598" s="209"/>
      <c r="L598" s="209"/>
      <c r="N598" s="2"/>
      <c r="O598" s="2"/>
      <c r="P598" s="2"/>
      <c r="Q598" s="2"/>
      <c r="R598" s="2"/>
      <c r="S598" s="2"/>
      <c r="T598" s="10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IU598" s="2"/>
      <c r="IV598" s="2"/>
      <c r="IW598" s="2"/>
      <c r="IX598" s="2"/>
      <c r="IY598" s="2"/>
      <c r="IZ598" s="2"/>
      <c r="JA598" s="2"/>
      <c r="JB598" s="2"/>
      <c r="J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I599" s="5"/>
      <c r="J599" s="211"/>
      <c r="K599" s="5"/>
      <c r="L599" s="5"/>
      <c r="N599" s="2"/>
      <c r="O599" s="2"/>
      <c r="P599" s="2"/>
      <c r="Q599" s="2"/>
      <c r="R599" s="2"/>
      <c r="S599" s="2"/>
      <c r="T599" s="10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IU599" s="2"/>
      <c r="IV599" s="2"/>
      <c r="IW599" s="2"/>
      <c r="IX599" s="2"/>
      <c r="IY599" s="2"/>
      <c r="IZ599" s="2"/>
      <c r="JA599" s="2"/>
      <c r="JB599" s="2"/>
      <c r="J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I600" s="209"/>
      <c r="J600" s="210"/>
      <c r="K600" s="209"/>
      <c r="L600" s="209"/>
      <c r="N600" s="2"/>
      <c r="O600" s="2"/>
      <c r="P600" s="2"/>
      <c r="Q600" s="2"/>
      <c r="R600" s="2"/>
      <c r="S600" s="2"/>
      <c r="T600" s="10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IU600" s="2"/>
      <c r="IV600" s="2"/>
      <c r="IW600" s="2"/>
      <c r="IX600" s="2"/>
      <c r="IY600" s="2"/>
      <c r="IZ600" s="2"/>
      <c r="JA600" s="2"/>
      <c r="JB600" s="2"/>
      <c r="J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I601" s="5"/>
      <c r="J601" s="211"/>
      <c r="K601" s="5"/>
      <c r="L601" s="5"/>
      <c r="N601" s="2"/>
      <c r="O601" s="2"/>
      <c r="P601" s="2"/>
      <c r="Q601" s="2"/>
      <c r="R601" s="2"/>
      <c r="S601" s="2"/>
      <c r="T601" s="10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IU601" s="2"/>
      <c r="IV601" s="2"/>
      <c r="IW601" s="2"/>
      <c r="IX601" s="2"/>
      <c r="IY601" s="2"/>
      <c r="IZ601" s="2"/>
      <c r="JA601" s="2"/>
      <c r="JB601" s="2"/>
      <c r="J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I602" s="209"/>
      <c r="J602" s="210"/>
      <c r="K602" s="209"/>
      <c r="L602" s="209"/>
      <c r="N602" s="2"/>
      <c r="O602" s="2"/>
      <c r="P602" s="2"/>
      <c r="Q602" s="2"/>
      <c r="R602" s="2"/>
      <c r="S602" s="2"/>
      <c r="T602" s="10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IU602" s="2"/>
      <c r="IV602" s="2"/>
      <c r="IW602" s="2"/>
      <c r="IX602" s="2"/>
      <c r="IY602" s="2"/>
      <c r="IZ602" s="2"/>
      <c r="JA602" s="2"/>
      <c r="JB602" s="2"/>
      <c r="J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I603" s="5"/>
      <c r="J603" s="211"/>
      <c r="K603" s="5"/>
      <c r="L603" s="5"/>
      <c r="N603" s="2"/>
      <c r="O603" s="2"/>
      <c r="P603" s="2"/>
      <c r="Q603" s="2"/>
      <c r="R603" s="2"/>
      <c r="S603" s="2"/>
      <c r="T603" s="10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IU603" s="2"/>
      <c r="IV603" s="2"/>
      <c r="IW603" s="2"/>
      <c r="IX603" s="2"/>
      <c r="IY603" s="2"/>
      <c r="IZ603" s="2"/>
      <c r="JA603" s="2"/>
      <c r="JB603" s="2"/>
      <c r="J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I604" s="209"/>
      <c r="J604" s="210"/>
      <c r="K604" s="209"/>
      <c r="L604" s="209"/>
      <c r="N604" s="2"/>
      <c r="O604" s="2"/>
      <c r="P604" s="2"/>
      <c r="Q604" s="2"/>
      <c r="R604" s="2"/>
      <c r="S604" s="2"/>
      <c r="T604" s="10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IU604" s="2"/>
      <c r="IV604" s="2"/>
      <c r="IW604" s="2"/>
      <c r="IX604" s="2"/>
      <c r="IY604" s="2"/>
      <c r="IZ604" s="2"/>
      <c r="JA604" s="2"/>
      <c r="JB604" s="2"/>
      <c r="J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I605" s="5"/>
      <c r="J605" s="211"/>
      <c r="K605" s="5"/>
      <c r="L605" s="5"/>
      <c r="N605" s="2"/>
      <c r="O605" s="2"/>
      <c r="P605" s="2"/>
      <c r="Q605" s="2"/>
      <c r="R605" s="2"/>
      <c r="S605" s="2"/>
      <c r="T605" s="10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IU605" s="2"/>
      <c r="IV605" s="2"/>
      <c r="IW605" s="2"/>
      <c r="IX605" s="2"/>
      <c r="IY605" s="2"/>
      <c r="IZ605" s="2"/>
      <c r="JA605" s="2"/>
      <c r="JB605" s="2"/>
      <c r="J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I606" s="209"/>
      <c r="J606" s="210"/>
      <c r="K606" s="209"/>
      <c r="L606" s="209"/>
      <c r="N606" s="2"/>
      <c r="O606" s="2"/>
      <c r="P606" s="2"/>
      <c r="Q606" s="2"/>
      <c r="R606" s="2"/>
      <c r="S606" s="2"/>
      <c r="T606" s="10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IU606" s="2"/>
      <c r="IV606" s="2"/>
      <c r="IW606" s="2"/>
      <c r="IX606" s="2"/>
      <c r="IY606" s="2"/>
      <c r="IZ606" s="2"/>
      <c r="JA606" s="2"/>
      <c r="JB606" s="2"/>
      <c r="J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I607" s="5"/>
      <c r="J607" s="211"/>
      <c r="K607" s="5"/>
      <c r="L607" s="5"/>
      <c r="N607" s="2"/>
      <c r="O607" s="2"/>
      <c r="P607" s="2"/>
      <c r="Q607" s="2"/>
      <c r="R607" s="2"/>
      <c r="S607" s="2"/>
      <c r="T607" s="10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IU607" s="2"/>
      <c r="IV607" s="2"/>
      <c r="IW607" s="2"/>
      <c r="IX607" s="2"/>
      <c r="IY607" s="2"/>
      <c r="IZ607" s="2"/>
      <c r="JA607" s="2"/>
      <c r="JB607" s="2"/>
      <c r="J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I608" s="209"/>
      <c r="J608" s="210"/>
      <c r="K608" s="209"/>
      <c r="L608" s="209"/>
      <c r="N608" s="2"/>
      <c r="O608" s="2"/>
      <c r="P608" s="2"/>
      <c r="Q608" s="2"/>
      <c r="R608" s="2"/>
      <c r="S608" s="2"/>
      <c r="T608" s="10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IU608" s="2"/>
      <c r="IV608" s="2"/>
      <c r="IW608" s="2"/>
      <c r="IX608" s="2"/>
      <c r="IY608" s="2"/>
      <c r="IZ608" s="2"/>
      <c r="JA608" s="2"/>
      <c r="JB608" s="2"/>
      <c r="J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I609" s="5"/>
      <c r="J609" s="211"/>
      <c r="K609" s="5"/>
      <c r="L609" s="5"/>
      <c r="N609" s="2"/>
      <c r="O609" s="2"/>
      <c r="P609" s="2"/>
      <c r="Q609" s="2"/>
      <c r="R609" s="2"/>
      <c r="S609" s="2"/>
      <c r="T609" s="10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IU609" s="2"/>
      <c r="IV609" s="2"/>
      <c r="IW609" s="2"/>
      <c r="IX609" s="2"/>
      <c r="IY609" s="2"/>
      <c r="IZ609" s="2"/>
      <c r="JA609" s="2"/>
      <c r="JB609" s="2"/>
      <c r="J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I610" s="209"/>
      <c r="J610" s="210"/>
      <c r="K610" s="209"/>
      <c r="L610" s="209"/>
      <c r="N610" s="2"/>
      <c r="O610" s="2"/>
      <c r="P610" s="2"/>
      <c r="Q610" s="2"/>
      <c r="R610" s="2"/>
      <c r="S610" s="2"/>
      <c r="T610" s="10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IU610" s="2"/>
      <c r="IV610" s="2"/>
      <c r="IW610" s="2"/>
      <c r="IX610" s="2"/>
      <c r="IY610" s="2"/>
      <c r="IZ610" s="2"/>
      <c r="JA610" s="2"/>
      <c r="JB610" s="2"/>
      <c r="J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I611" s="5"/>
      <c r="J611" s="211"/>
      <c r="K611" s="5"/>
      <c r="L611" s="5"/>
      <c r="N611" s="2"/>
      <c r="O611" s="2"/>
      <c r="P611" s="2"/>
      <c r="Q611" s="2"/>
      <c r="R611" s="2"/>
      <c r="S611" s="2"/>
      <c r="T611" s="10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IU611" s="2"/>
      <c r="IV611" s="2"/>
      <c r="IW611" s="2"/>
      <c r="IX611" s="2"/>
      <c r="IY611" s="2"/>
      <c r="IZ611" s="2"/>
      <c r="JA611" s="2"/>
      <c r="JB611" s="2"/>
      <c r="J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I612" s="209"/>
      <c r="J612" s="210"/>
      <c r="K612" s="209"/>
      <c r="L612" s="209"/>
      <c r="N612" s="2"/>
      <c r="O612" s="2"/>
      <c r="P612" s="2"/>
      <c r="Q612" s="2"/>
      <c r="R612" s="2"/>
      <c r="S612" s="2"/>
      <c r="T612" s="10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IU612" s="2"/>
      <c r="IV612" s="2"/>
      <c r="IW612" s="2"/>
      <c r="IX612" s="2"/>
      <c r="IY612" s="2"/>
      <c r="IZ612" s="2"/>
      <c r="JA612" s="2"/>
      <c r="JB612" s="2"/>
      <c r="J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I613" s="5"/>
      <c r="J613" s="211"/>
      <c r="K613" s="5"/>
      <c r="L613" s="5"/>
      <c r="N613" s="2"/>
      <c r="O613" s="2"/>
      <c r="P613" s="2"/>
      <c r="Q613" s="2"/>
      <c r="R613" s="2"/>
      <c r="S613" s="2"/>
      <c r="T613" s="10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IU613" s="2"/>
      <c r="IV613" s="2"/>
      <c r="IW613" s="2"/>
      <c r="IX613" s="2"/>
      <c r="IY613" s="2"/>
      <c r="IZ613" s="2"/>
      <c r="JA613" s="2"/>
      <c r="JB613" s="2"/>
      <c r="J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I614" s="209"/>
      <c r="J614" s="210"/>
      <c r="K614" s="209"/>
      <c r="L614" s="209"/>
      <c r="N614" s="2"/>
      <c r="O614" s="2"/>
      <c r="P614" s="2"/>
      <c r="Q614" s="2"/>
      <c r="R614" s="2"/>
      <c r="S614" s="2"/>
      <c r="T614" s="10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IU614" s="2"/>
      <c r="IV614" s="2"/>
      <c r="IW614" s="2"/>
      <c r="IX614" s="2"/>
      <c r="IY614" s="2"/>
      <c r="IZ614" s="2"/>
      <c r="JA614" s="2"/>
      <c r="JB614" s="2"/>
      <c r="J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I615" s="5"/>
      <c r="J615" s="211"/>
      <c r="K615" s="5"/>
      <c r="L615" s="5"/>
      <c r="N615" s="2"/>
      <c r="O615" s="2"/>
      <c r="P615" s="2"/>
      <c r="Q615" s="2"/>
      <c r="R615" s="2"/>
      <c r="S615" s="2"/>
      <c r="T615" s="10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IU615" s="2"/>
      <c r="IV615" s="2"/>
      <c r="IW615" s="2"/>
      <c r="IX615" s="2"/>
      <c r="IY615" s="2"/>
      <c r="IZ615" s="2"/>
      <c r="JA615" s="2"/>
      <c r="JB615" s="2"/>
      <c r="J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I616" s="209"/>
      <c r="J616" s="210"/>
      <c r="K616" s="209"/>
      <c r="L616" s="209"/>
      <c r="N616" s="2"/>
      <c r="O616" s="2"/>
      <c r="P616" s="2"/>
      <c r="Q616" s="2"/>
      <c r="R616" s="2"/>
      <c r="S616" s="2"/>
      <c r="T616" s="10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IU616" s="2"/>
      <c r="IV616" s="2"/>
      <c r="IW616" s="2"/>
      <c r="IX616" s="2"/>
      <c r="IY616" s="2"/>
      <c r="IZ616" s="2"/>
      <c r="JA616" s="2"/>
      <c r="JB616" s="2"/>
      <c r="J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I617" s="5"/>
      <c r="J617" s="211"/>
      <c r="K617" s="5"/>
      <c r="L617" s="5"/>
      <c r="N617" s="2"/>
      <c r="O617" s="2"/>
      <c r="P617" s="2"/>
      <c r="Q617" s="2"/>
      <c r="R617" s="2"/>
      <c r="S617" s="2"/>
      <c r="T617" s="10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IU617" s="2"/>
      <c r="IV617" s="2"/>
      <c r="IW617" s="2"/>
      <c r="IX617" s="2"/>
      <c r="IY617" s="2"/>
      <c r="IZ617" s="2"/>
      <c r="JA617" s="2"/>
      <c r="JB617" s="2"/>
      <c r="J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I618" s="209"/>
      <c r="J618" s="210"/>
      <c r="K618" s="209"/>
      <c r="L618" s="209"/>
      <c r="N618" s="2"/>
      <c r="O618" s="2"/>
      <c r="P618" s="2"/>
      <c r="Q618" s="2"/>
      <c r="R618" s="2"/>
      <c r="S618" s="2"/>
      <c r="T618" s="10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IU618" s="2"/>
      <c r="IV618" s="2"/>
      <c r="IW618" s="2"/>
      <c r="IX618" s="2"/>
      <c r="IY618" s="2"/>
      <c r="IZ618" s="2"/>
      <c r="JA618" s="2"/>
      <c r="JB618" s="2"/>
      <c r="J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I619" s="5"/>
      <c r="J619" s="211"/>
      <c r="K619" s="5"/>
      <c r="L619" s="5"/>
      <c r="N619" s="2"/>
      <c r="O619" s="2"/>
      <c r="P619" s="2"/>
      <c r="Q619" s="2"/>
      <c r="R619" s="2"/>
      <c r="S619" s="2"/>
      <c r="T619" s="10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IU619" s="2"/>
      <c r="IV619" s="2"/>
      <c r="IW619" s="2"/>
      <c r="IX619" s="2"/>
      <c r="IY619" s="2"/>
      <c r="IZ619" s="2"/>
      <c r="JA619" s="2"/>
      <c r="JB619" s="2"/>
      <c r="J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I620" s="209"/>
      <c r="J620" s="210"/>
      <c r="K620" s="209"/>
      <c r="L620" s="209"/>
      <c r="N620" s="2"/>
      <c r="O620" s="2"/>
      <c r="P620" s="2"/>
      <c r="Q620" s="2"/>
      <c r="R620" s="2"/>
      <c r="S620" s="2"/>
      <c r="T620" s="10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IU620" s="2"/>
      <c r="IV620" s="2"/>
      <c r="IW620" s="2"/>
      <c r="IX620" s="2"/>
      <c r="IY620" s="2"/>
      <c r="IZ620" s="2"/>
      <c r="JA620" s="2"/>
      <c r="JB620" s="2"/>
      <c r="J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I621" s="5"/>
      <c r="J621" s="211"/>
      <c r="K621" s="5"/>
      <c r="L621" s="5"/>
      <c r="N621" s="2"/>
      <c r="O621" s="2"/>
      <c r="P621" s="2"/>
      <c r="Q621" s="2"/>
      <c r="R621" s="2"/>
      <c r="S621" s="2"/>
      <c r="T621" s="10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IU621" s="2"/>
      <c r="IV621" s="2"/>
      <c r="IW621" s="2"/>
      <c r="IX621" s="2"/>
      <c r="IY621" s="2"/>
      <c r="IZ621" s="2"/>
      <c r="JA621" s="2"/>
      <c r="JB621" s="2"/>
      <c r="J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I622" s="209"/>
      <c r="J622" s="210"/>
      <c r="K622" s="209"/>
      <c r="L622" s="209"/>
      <c r="N622" s="2"/>
      <c r="O622" s="2"/>
      <c r="P622" s="2"/>
      <c r="Q622" s="2"/>
      <c r="R622" s="2"/>
      <c r="S622" s="2"/>
      <c r="T622" s="10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IU622" s="2"/>
      <c r="IV622" s="2"/>
      <c r="IW622" s="2"/>
      <c r="IX622" s="2"/>
      <c r="IY622" s="2"/>
      <c r="IZ622" s="2"/>
      <c r="JA622" s="2"/>
      <c r="JB622" s="2"/>
      <c r="J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I623" s="5"/>
      <c r="J623" s="211"/>
      <c r="K623" s="5"/>
      <c r="L623" s="5"/>
      <c r="N623" s="2"/>
      <c r="O623" s="2"/>
      <c r="P623" s="2"/>
      <c r="Q623" s="2"/>
      <c r="R623" s="2"/>
      <c r="S623" s="2"/>
      <c r="T623" s="10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IU623" s="2"/>
      <c r="IV623" s="2"/>
      <c r="IW623" s="2"/>
      <c r="IX623" s="2"/>
      <c r="IY623" s="2"/>
      <c r="IZ623" s="2"/>
      <c r="JA623" s="2"/>
      <c r="JB623" s="2"/>
      <c r="J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I624" s="209"/>
      <c r="J624" s="210"/>
      <c r="K624" s="209"/>
      <c r="L624" s="209"/>
      <c r="N624" s="2"/>
      <c r="O624" s="2"/>
      <c r="P624" s="2"/>
      <c r="Q624" s="2"/>
      <c r="R624" s="2"/>
      <c r="S624" s="2"/>
      <c r="T624" s="10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IU624" s="2"/>
      <c r="IV624" s="2"/>
      <c r="IW624" s="2"/>
      <c r="IX624" s="2"/>
      <c r="IY624" s="2"/>
      <c r="IZ624" s="2"/>
      <c r="JA624" s="2"/>
      <c r="JB624" s="2"/>
      <c r="J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I625" s="5"/>
      <c r="J625" s="211"/>
      <c r="K625" s="5"/>
      <c r="L625" s="5"/>
      <c r="N625" s="2"/>
      <c r="O625" s="2"/>
      <c r="P625" s="2"/>
      <c r="Q625" s="2"/>
      <c r="R625" s="2"/>
      <c r="S625" s="2"/>
      <c r="T625" s="10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IU625" s="2"/>
      <c r="IV625" s="2"/>
      <c r="IW625" s="2"/>
      <c r="IX625" s="2"/>
      <c r="IY625" s="2"/>
      <c r="IZ625" s="2"/>
      <c r="JA625" s="2"/>
      <c r="JB625" s="2"/>
      <c r="J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I626" s="209"/>
      <c r="J626" s="210"/>
      <c r="K626" s="209"/>
      <c r="L626" s="209"/>
      <c r="N626" s="2"/>
      <c r="O626" s="2"/>
      <c r="P626" s="2"/>
      <c r="Q626" s="2"/>
      <c r="R626" s="2"/>
      <c r="S626" s="2"/>
      <c r="T626" s="10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IU626" s="2"/>
      <c r="IV626" s="2"/>
      <c r="IW626" s="2"/>
      <c r="IX626" s="2"/>
      <c r="IY626" s="2"/>
      <c r="IZ626" s="2"/>
      <c r="JA626" s="2"/>
      <c r="JB626" s="2"/>
      <c r="J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I627" s="5"/>
      <c r="J627" s="211"/>
      <c r="K627" s="5"/>
      <c r="L627" s="5"/>
      <c r="N627" s="2"/>
      <c r="O627" s="2"/>
      <c r="P627" s="2"/>
      <c r="Q627" s="2"/>
      <c r="R627" s="2"/>
      <c r="S627" s="2"/>
      <c r="T627" s="10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IU627" s="2"/>
      <c r="IV627" s="2"/>
      <c r="IW627" s="2"/>
      <c r="IX627" s="2"/>
      <c r="IY627" s="2"/>
      <c r="IZ627" s="2"/>
      <c r="JA627" s="2"/>
      <c r="JB627" s="2"/>
      <c r="J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I628" s="209"/>
      <c r="J628" s="210"/>
      <c r="K628" s="209"/>
      <c r="L628" s="209"/>
      <c r="N628" s="2"/>
      <c r="O628" s="2"/>
      <c r="P628" s="2"/>
      <c r="Q628" s="2"/>
      <c r="R628" s="2"/>
      <c r="S628" s="2"/>
      <c r="T628" s="10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IU628" s="2"/>
      <c r="IV628" s="2"/>
      <c r="IW628" s="2"/>
      <c r="IX628" s="2"/>
      <c r="IY628" s="2"/>
      <c r="IZ628" s="2"/>
      <c r="JA628" s="2"/>
      <c r="JB628" s="2"/>
      <c r="J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I629" s="5"/>
      <c r="J629" s="211"/>
      <c r="K629" s="5"/>
      <c r="L629" s="5"/>
      <c r="N629" s="2"/>
      <c r="O629" s="2"/>
      <c r="P629" s="2"/>
      <c r="Q629" s="2"/>
      <c r="R629" s="2"/>
      <c r="S629" s="2"/>
      <c r="T629" s="10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IU629" s="2"/>
      <c r="IV629" s="2"/>
      <c r="IW629" s="2"/>
      <c r="IX629" s="2"/>
      <c r="IY629" s="2"/>
      <c r="IZ629" s="2"/>
      <c r="JA629" s="2"/>
      <c r="JB629" s="2"/>
      <c r="J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I630" s="209"/>
      <c r="J630" s="210"/>
      <c r="K630" s="209"/>
      <c r="L630" s="209"/>
      <c r="N630" s="2"/>
      <c r="O630" s="2"/>
      <c r="P630" s="2"/>
      <c r="Q630" s="2"/>
      <c r="R630" s="2"/>
      <c r="S630" s="2"/>
      <c r="T630" s="10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IU630" s="2"/>
      <c r="IV630" s="2"/>
      <c r="IW630" s="2"/>
      <c r="IX630" s="2"/>
      <c r="IY630" s="2"/>
      <c r="IZ630" s="2"/>
      <c r="JA630" s="2"/>
      <c r="JB630" s="2"/>
      <c r="J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I631" s="5"/>
      <c r="J631" s="211"/>
      <c r="K631" s="5"/>
      <c r="L631" s="5"/>
      <c r="N631" s="2"/>
      <c r="O631" s="2"/>
      <c r="P631" s="2"/>
      <c r="Q631" s="2"/>
      <c r="R631" s="2"/>
      <c r="S631" s="2"/>
      <c r="T631" s="10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IU631" s="2"/>
      <c r="IV631" s="2"/>
      <c r="IW631" s="2"/>
      <c r="IX631" s="2"/>
      <c r="IY631" s="2"/>
      <c r="IZ631" s="2"/>
      <c r="JA631" s="2"/>
      <c r="JB631" s="2"/>
      <c r="J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I632" s="209"/>
      <c r="J632" s="210"/>
      <c r="K632" s="209"/>
      <c r="L632" s="209"/>
      <c r="N632" s="2"/>
      <c r="O632" s="2"/>
      <c r="P632" s="2"/>
      <c r="Q632" s="2"/>
      <c r="R632" s="2"/>
      <c r="S632" s="2"/>
      <c r="T632" s="10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IU632" s="2"/>
      <c r="IV632" s="2"/>
      <c r="IW632" s="2"/>
      <c r="IX632" s="2"/>
      <c r="IY632" s="2"/>
      <c r="IZ632" s="2"/>
      <c r="JA632" s="2"/>
      <c r="JB632" s="2"/>
      <c r="J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I633" s="5"/>
      <c r="J633" s="211"/>
      <c r="K633" s="5"/>
      <c r="L633" s="5"/>
      <c r="N633" s="2"/>
      <c r="O633" s="2"/>
      <c r="P633" s="2"/>
      <c r="Q633" s="2"/>
      <c r="R633" s="2"/>
      <c r="S633" s="2"/>
      <c r="T633" s="10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IU633" s="2"/>
      <c r="IV633" s="2"/>
      <c r="IW633" s="2"/>
      <c r="IX633" s="2"/>
      <c r="IY633" s="2"/>
      <c r="IZ633" s="2"/>
      <c r="JA633" s="2"/>
      <c r="JB633" s="2"/>
      <c r="J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I634" s="209"/>
      <c r="J634" s="210"/>
      <c r="K634" s="209"/>
      <c r="L634" s="209"/>
      <c r="N634" s="2"/>
      <c r="O634" s="2"/>
      <c r="P634" s="2"/>
      <c r="Q634" s="2"/>
      <c r="R634" s="2"/>
      <c r="S634" s="2"/>
      <c r="T634" s="10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IU634" s="2"/>
      <c r="IV634" s="2"/>
      <c r="IW634" s="2"/>
      <c r="IX634" s="2"/>
      <c r="IY634" s="2"/>
      <c r="IZ634" s="2"/>
      <c r="JA634" s="2"/>
      <c r="JB634" s="2"/>
      <c r="J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I635" s="5"/>
      <c r="J635" s="211"/>
      <c r="K635" s="5"/>
      <c r="L635" s="5"/>
      <c r="N635" s="2"/>
      <c r="O635" s="2"/>
      <c r="P635" s="2"/>
      <c r="Q635" s="2"/>
      <c r="R635" s="2"/>
      <c r="S635" s="2"/>
      <c r="T635" s="10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IU635" s="2"/>
      <c r="IV635" s="2"/>
      <c r="IW635" s="2"/>
      <c r="IX635" s="2"/>
      <c r="IY635" s="2"/>
      <c r="IZ635" s="2"/>
      <c r="JA635" s="2"/>
      <c r="JB635" s="2"/>
      <c r="J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I636" s="209"/>
      <c r="J636" s="210"/>
      <c r="K636" s="209"/>
      <c r="L636" s="209"/>
      <c r="N636" s="2"/>
      <c r="O636" s="2"/>
      <c r="P636" s="2"/>
      <c r="Q636" s="2"/>
      <c r="R636" s="2"/>
      <c r="S636" s="2"/>
      <c r="T636" s="10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IU636" s="2"/>
      <c r="IV636" s="2"/>
      <c r="IW636" s="2"/>
      <c r="IX636" s="2"/>
      <c r="IY636" s="2"/>
      <c r="IZ636" s="2"/>
      <c r="JA636" s="2"/>
      <c r="JB636" s="2"/>
      <c r="J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I637" s="5"/>
      <c r="J637" s="211"/>
      <c r="K637" s="5"/>
      <c r="L637" s="5"/>
      <c r="N637" s="2"/>
      <c r="O637" s="2"/>
      <c r="P637" s="2"/>
      <c r="Q637" s="2"/>
      <c r="R637" s="2"/>
      <c r="S637" s="2"/>
      <c r="T637" s="10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IU637" s="2"/>
      <c r="IV637" s="2"/>
      <c r="IW637" s="2"/>
      <c r="IX637" s="2"/>
      <c r="IY637" s="2"/>
      <c r="IZ637" s="2"/>
      <c r="JA637" s="2"/>
      <c r="JB637" s="2"/>
      <c r="J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I638" s="209"/>
      <c r="J638" s="210"/>
      <c r="K638" s="209"/>
      <c r="L638" s="209"/>
      <c r="N638" s="2"/>
      <c r="O638" s="2"/>
      <c r="P638" s="2"/>
      <c r="Q638" s="2"/>
      <c r="R638" s="2"/>
      <c r="S638" s="2"/>
      <c r="T638" s="10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IU638" s="2"/>
      <c r="IV638" s="2"/>
      <c r="IW638" s="2"/>
      <c r="IX638" s="2"/>
      <c r="IY638" s="2"/>
      <c r="IZ638" s="2"/>
      <c r="JA638" s="2"/>
      <c r="JB638" s="2"/>
      <c r="J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I639" s="5"/>
      <c r="J639" s="211"/>
      <c r="K639" s="5"/>
      <c r="L639" s="5"/>
      <c r="N639" s="2"/>
      <c r="O639" s="2"/>
      <c r="P639" s="2"/>
      <c r="Q639" s="2"/>
      <c r="R639" s="2"/>
      <c r="S639" s="2"/>
      <c r="T639" s="10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IU639" s="2"/>
      <c r="IV639" s="2"/>
      <c r="IW639" s="2"/>
      <c r="IX639" s="2"/>
      <c r="IY639" s="2"/>
      <c r="IZ639" s="2"/>
      <c r="JA639" s="2"/>
      <c r="JB639" s="2"/>
      <c r="J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I640" s="209"/>
      <c r="J640" s="210"/>
      <c r="K640" s="209"/>
      <c r="L640" s="209"/>
      <c r="N640" s="2"/>
      <c r="O640" s="2"/>
      <c r="P640" s="2"/>
      <c r="Q640" s="2"/>
      <c r="R640" s="2"/>
      <c r="S640" s="2"/>
      <c r="T640" s="10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IU640" s="2"/>
      <c r="IV640" s="2"/>
      <c r="IW640" s="2"/>
      <c r="IX640" s="2"/>
      <c r="IY640" s="2"/>
      <c r="IZ640" s="2"/>
      <c r="JA640" s="2"/>
      <c r="JB640" s="2"/>
      <c r="J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I641" s="5"/>
      <c r="J641" s="211"/>
      <c r="K641" s="5"/>
      <c r="L641" s="5"/>
      <c r="N641" s="2"/>
      <c r="O641" s="2"/>
      <c r="P641" s="2"/>
      <c r="Q641" s="2"/>
      <c r="R641" s="2"/>
      <c r="S641" s="2"/>
      <c r="T641" s="10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IU641" s="2"/>
      <c r="IV641" s="2"/>
      <c r="IW641" s="2"/>
      <c r="IX641" s="2"/>
      <c r="IY641" s="2"/>
      <c r="IZ641" s="2"/>
      <c r="JA641" s="2"/>
      <c r="JB641" s="2"/>
      <c r="J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I642" s="209"/>
      <c r="J642" s="210"/>
      <c r="K642" s="209"/>
      <c r="L642" s="209"/>
      <c r="N642" s="2"/>
      <c r="O642" s="2"/>
      <c r="P642" s="2"/>
      <c r="Q642" s="2"/>
      <c r="R642" s="2"/>
      <c r="S642" s="2"/>
      <c r="T642" s="10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IU642" s="2"/>
      <c r="IV642" s="2"/>
      <c r="IW642" s="2"/>
      <c r="IX642" s="2"/>
      <c r="IY642" s="2"/>
      <c r="IZ642" s="2"/>
      <c r="JA642" s="2"/>
      <c r="JB642" s="2"/>
      <c r="J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I643" s="5"/>
      <c r="J643" s="211"/>
      <c r="K643" s="5"/>
      <c r="L643" s="5"/>
      <c r="N643" s="2"/>
      <c r="O643" s="2"/>
      <c r="P643" s="2"/>
      <c r="Q643" s="2"/>
      <c r="R643" s="2"/>
      <c r="S643" s="2"/>
      <c r="T643" s="10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IU643" s="2"/>
      <c r="IV643" s="2"/>
      <c r="IW643" s="2"/>
      <c r="IX643" s="2"/>
      <c r="IY643" s="2"/>
      <c r="IZ643" s="2"/>
      <c r="JA643" s="2"/>
      <c r="JB643" s="2"/>
      <c r="J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I644" s="209"/>
      <c r="J644" s="210"/>
      <c r="K644" s="209"/>
      <c r="L644" s="209"/>
      <c r="N644" s="2"/>
      <c r="O644" s="2"/>
      <c r="P644" s="2"/>
      <c r="Q644" s="2"/>
      <c r="R644" s="2"/>
      <c r="S644" s="2"/>
      <c r="T644" s="10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IU644" s="2"/>
      <c r="IV644" s="2"/>
      <c r="IW644" s="2"/>
      <c r="IX644" s="2"/>
      <c r="IY644" s="2"/>
      <c r="IZ644" s="2"/>
      <c r="JA644" s="2"/>
      <c r="JB644" s="2"/>
      <c r="J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I645" s="5"/>
      <c r="J645" s="211"/>
      <c r="K645" s="5"/>
      <c r="L645" s="5"/>
      <c r="N645" s="2"/>
      <c r="O645" s="2"/>
      <c r="P645" s="2"/>
      <c r="Q645" s="2"/>
      <c r="R645" s="2"/>
      <c r="S645" s="2"/>
      <c r="T645" s="10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IU645" s="2"/>
      <c r="IV645" s="2"/>
      <c r="IW645" s="2"/>
      <c r="IX645" s="2"/>
      <c r="IY645" s="2"/>
      <c r="IZ645" s="2"/>
      <c r="JA645" s="2"/>
      <c r="JB645" s="2"/>
      <c r="J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I646" s="209"/>
      <c r="J646" s="210"/>
      <c r="K646" s="209"/>
      <c r="L646" s="209"/>
      <c r="N646" s="2"/>
      <c r="O646" s="2"/>
      <c r="P646" s="2"/>
      <c r="Q646" s="2"/>
      <c r="R646" s="2"/>
      <c r="S646" s="2"/>
      <c r="T646" s="10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IU646" s="2"/>
      <c r="IV646" s="2"/>
      <c r="IW646" s="2"/>
      <c r="IX646" s="2"/>
      <c r="IY646" s="2"/>
      <c r="IZ646" s="2"/>
      <c r="JA646" s="2"/>
      <c r="JB646" s="2"/>
      <c r="J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I647" s="5"/>
      <c r="J647" s="211"/>
      <c r="K647" s="5"/>
      <c r="L647" s="5"/>
      <c r="N647" s="2"/>
      <c r="O647" s="2"/>
      <c r="P647" s="2"/>
      <c r="Q647" s="2"/>
      <c r="R647" s="2"/>
      <c r="S647" s="2"/>
      <c r="T647" s="10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IU647" s="2"/>
      <c r="IV647" s="2"/>
      <c r="IW647" s="2"/>
      <c r="IX647" s="2"/>
      <c r="IY647" s="2"/>
      <c r="IZ647" s="2"/>
      <c r="JA647" s="2"/>
      <c r="JB647" s="2"/>
      <c r="J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I648" s="209"/>
      <c r="J648" s="210"/>
      <c r="K648" s="209"/>
      <c r="L648" s="209"/>
      <c r="N648" s="2"/>
      <c r="O648" s="2"/>
      <c r="P648" s="2"/>
      <c r="Q648" s="2"/>
      <c r="R648" s="2"/>
      <c r="S648" s="2"/>
      <c r="T648" s="10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IU648" s="2"/>
      <c r="IV648" s="2"/>
      <c r="IW648" s="2"/>
      <c r="IX648" s="2"/>
      <c r="IY648" s="2"/>
      <c r="IZ648" s="2"/>
      <c r="JA648" s="2"/>
      <c r="JB648" s="2"/>
      <c r="J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I649" s="5"/>
      <c r="J649" s="211"/>
      <c r="K649" s="5"/>
      <c r="L649" s="5"/>
      <c r="N649" s="2"/>
      <c r="O649" s="2"/>
      <c r="P649" s="2"/>
      <c r="Q649" s="2"/>
      <c r="R649" s="2"/>
      <c r="S649" s="2"/>
      <c r="T649" s="10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IU649" s="2"/>
      <c r="IV649" s="2"/>
      <c r="IW649" s="2"/>
      <c r="IX649" s="2"/>
      <c r="IY649" s="2"/>
      <c r="IZ649" s="2"/>
      <c r="JA649" s="2"/>
      <c r="JB649" s="2"/>
      <c r="J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I650" s="209"/>
      <c r="J650" s="210"/>
      <c r="K650" s="209"/>
      <c r="L650" s="209"/>
      <c r="N650" s="2"/>
      <c r="O650" s="2"/>
      <c r="P650" s="2"/>
      <c r="Q650" s="2"/>
      <c r="R650" s="2"/>
      <c r="S650" s="2"/>
      <c r="T650" s="10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IU650" s="2"/>
      <c r="IV650" s="2"/>
      <c r="IW650" s="2"/>
      <c r="IX650" s="2"/>
      <c r="IY650" s="2"/>
      <c r="IZ650" s="2"/>
      <c r="JA650" s="2"/>
      <c r="JB650" s="2"/>
      <c r="J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I651" s="5"/>
      <c r="J651" s="211"/>
      <c r="K651" s="5"/>
      <c r="L651" s="5"/>
      <c r="N651" s="2"/>
      <c r="O651" s="2"/>
      <c r="P651" s="2"/>
      <c r="Q651" s="2"/>
      <c r="R651" s="2"/>
      <c r="S651" s="2"/>
      <c r="T651" s="10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IU651" s="2"/>
      <c r="IV651" s="2"/>
      <c r="IW651" s="2"/>
      <c r="IX651" s="2"/>
      <c r="IY651" s="2"/>
      <c r="IZ651" s="2"/>
      <c r="JA651" s="2"/>
      <c r="JB651" s="2"/>
      <c r="J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I652" s="209"/>
      <c r="J652" s="210"/>
      <c r="K652" s="209"/>
      <c r="L652" s="209"/>
      <c r="N652" s="2"/>
      <c r="O652" s="2"/>
      <c r="P652" s="2"/>
      <c r="Q652" s="2"/>
      <c r="R652" s="2"/>
      <c r="S652" s="2"/>
      <c r="T652" s="10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IU652" s="2"/>
      <c r="IV652" s="2"/>
      <c r="IW652" s="2"/>
      <c r="IX652" s="2"/>
      <c r="IY652" s="2"/>
      <c r="IZ652" s="2"/>
      <c r="JA652" s="2"/>
      <c r="JB652" s="2"/>
      <c r="J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I653" s="5"/>
      <c r="J653" s="211"/>
      <c r="K653" s="5"/>
      <c r="L653" s="5"/>
      <c r="N653" s="2"/>
      <c r="O653" s="2"/>
      <c r="P653" s="2"/>
      <c r="Q653" s="2"/>
      <c r="R653" s="2"/>
      <c r="S653" s="2"/>
      <c r="T653" s="10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IU653" s="2"/>
      <c r="IV653" s="2"/>
      <c r="IW653" s="2"/>
      <c r="IX653" s="2"/>
      <c r="IY653" s="2"/>
      <c r="IZ653" s="2"/>
      <c r="JA653" s="2"/>
      <c r="JB653" s="2"/>
      <c r="J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I654" s="209"/>
      <c r="J654" s="210"/>
      <c r="K654" s="209"/>
      <c r="L654" s="209"/>
      <c r="N654" s="2"/>
      <c r="O654" s="2"/>
      <c r="P654" s="2"/>
      <c r="Q654" s="2"/>
      <c r="R654" s="2"/>
      <c r="S654" s="2"/>
      <c r="T654" s="10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IU654" s="2"/>
      <c r="IV654" s="2"/>
      <c r="IW654" s="2"/>
      <c r="IX654" s="2"/>
      <c r="IY654" s="2"/>
      <c r="IZ654" s="2"/>
      <c r="JA654" s="2"/>
      <c r="JB654" s="2"/>
      <c r="J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I655" s="5"/>
      <c r="J655" s="211"/>
      <c r="K655" s="5"/>
      <c r="L655" s="5"/>
      <c r="N655" s="2"/>
      <c r="O655" s="2"/>
      <c r="P655" s="2"/>
      <c r="Q655" s="2"/>
      <c r="R655" s="2"/>
      <c r="S655" s="2"/>
      <c r="T655" s="10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IU655" s="2"/>
      <c r="IV655" s="2"/>
      <c r="IW655" s="2"/>
      <c r="IX655" s="2"/>
      <c r="IY655" s="2"/>
      <c r="IZ655" s="2"/>
      <c r="JA655" s="2"/>
      <c r="JB655" s="2"/>
      <c r="J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I656" s="209"/>
      <c r="J656" s="210"/>
      <c r="K656" s="209"/>
      <c r="L656" s="209"/>
      <c r="N656" s="2"/>
      <c r="O656" s="2"/>
      <c r="P656" s="2"/>
      <c r="Q656" s="2"/>
      <c r="R656" s="2"/>
      <c r="S656" s="2"/>
      <c r="T656" s="10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IU656" s="2"/>
      <c r="IV656" s="2"/>
      <c r="IW656" s="2"/>
      <c r="IX656" s="2"/>
      <c r="IY656" s="2"/>
      <c r="IZ656" s="2"/>
      <c r="JA656" s="2"/>
      <c r="JB656" s="2"/>
      <c r="J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I657" s="5"/>
      <c r="J657" s="211"/>
      <c r="K657" s="5"/>
      <c r="L657" s="5"/>
      <c r="N657" s="2"/>
      <c r="O657" s="2"/>
      <c r="P657" s="2"/>
      <c r="Q657" s="2"/>
      <c r="R657" s="2"/>
      <c r="S657" s="2"/>
      <c r="T657" s="10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IU657" s="2"/>
      <c r="IV657" s="2"/>
      <c r="IW657" s="2"/>
      <c r="IX657" s="2"/>
      <c r="IY657" s="2"/>
      <c r="IZ657" s="2"/>
      <c r="JA657" s="2"/>
      <c r="JB657" s="2"/>
      <c r="J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I658" s="209"/>
      <c r="J658" s="210"/>
      <c r="K658" s="209"/>
      <c r="L658" s="209"/>
      <c r="N658" s="2"/>
      <c r="O658" s="2"/>
      <c r="P658" s="2"/>
      <c r="Q658" s="2"/>
      <c r="R658" s="2"/>
      <c r="S658" s="2"/>
      <c r="T658" s="10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IU658" s="2"/>
      <c r="IV658" s="2"/>
      <c r="IW658" s="2"/>
      <c r="IX658" s="2"/>
      <c r="IY658" s="2"/>
      <c r="IZ658" s="2"/>
      <c r="JA658" s="2"/>
      <c r="JB658" s="2"/>
      <c r="J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I659" s="5"/>
      <c r="J659" s="211"/>
      <c r="K659" s="5"/>
      <c r="L659" s="5"/>
      <c r="N659" s="2"/>
      <c r="O659" s="2"/>
      <c r="P659" s="2"/>
      <c r="Q659" s="2"/>
      <c r="R659" s="2"/>
      <c r="S659" s="2"/>
      <c r="T659" s="10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IU659" s="2"/>
      <c r="IV659" s="2"/>
      <c r="IW659" s="2"/>
      <c r="IX659" s="2"/>
      <c r="IY659" s="2"/>
      <c r="IZ659" s="2"/>
      <c r="JA659" s="2"/>
      <c r="JB659" s="2"/>
      <c r="J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I660" s="209"/>
      <c r="J660" s="210"/>
      <c r="K660" s="209"/>
      <c r="L660" s="209"/>
      <c r="N660" s="2"/>
      <c r="O660" s="2"/>
      <c r="P660" s="2"/>
      <c r="Q660" s="2"/>
      <c r="R660" s="2"/>
      <c r="S660" s="2"/>
      <c r="T660" s="10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IU660" s="2"/>
      <c r="IV660" s="2"/>
      <c r="IW660" s="2"/>
      <c r="IX660" s="2"/>
      <c r="IY660" s="2"/>
      <c r="IZ660" s="2"/>
      <c r="JA660" s="2"/>
      <c r="JB660" s="2"/>
      <c r="J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I661" s="5"/>
      <c r="J661" s="211"/>
      <c r="K661" s="5"/>
      <c r="L661" s="5"/>
      <c r="N661" s="2"/>
      <c r="O661" s="2"/>
      <c r="P661" s="2"/>
      <c r="Q661" s="2"/>
      <c r="R661" s="2"/>
      <c r="S661" s="2"/>
      <c r="T661" s="10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IU661" s="2"/>
      <c r="IV661" s="2"/>
      <c r="IW661" s="2"/>
      <c r="IX661" s="2"/>
      <c r="IY661" s="2"/>
      <c r="IZ661" s="2"/>
      <c r="JA661" s="2"/>
      <c r="JB661" s="2"/>
      <c r="J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I662" s="209"/>
      <c r="J662" s="210"/>
      <c r="K662" s="209"/>
      <c r="L662" s="209"/>
      <c r="N662" s="2"/>
      <c r="O662" s="2"/>
      <c r="P662" s="2"/>
      <c r="Q662" s="2"/>
      <c r="R662" s="2"/>
      <c r="S662" s="2"/>
      <c r="T662" s="10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IU662" s="2"/>
      <c r="IV662" s="2"/>
      <c r="IW662" s="2"/>
      <c r="IX662" s="2"/>
      <c r="IY662" s="2"/>
      <c r="IZ662" s="2"/>
      <c r="JA662" s="2"/>
      <c r="JB662" s="2"/>
      <c r="J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I663" s="5"/>
      <c r="J663" s="211"/>
      <c r="K663" s="5"/>
      <c r="L663" s="5"/>
      <c r="N663" s="2"/>
      <c r="O663" s="2"/>
      <c r="P663" s="2"/>
      <c r="Q663" s="2"/>
      <c r="R663" s="2"/>
      <c r="S663" s="2"/>
      <c r="T663" s="10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IU663" s="2"/>
      <c r="IV663" s="2"/>
      <c r="IW663" s="2"/>
      <c r="IX663" s="2"/>
      <c r="IY663" s="2"/>
      <c r="IZ663" s="2"/>
      <c r="JA663" s="2"/>
      <c r="JB663" s="2"/>
      <c r="J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I664" s="209"/>
      <c r="J664" s="210"/>
      <c r="K664" s="209"/>
      <c r="L664" s="209"/>
      <c r="N664" s="2"/>
      <c r="O664" s="2"/>
      <c r="P664" s="2"/>
      <c r="Q664" s="2"/>
      <c r="R664" s="2"/>
      <c r="S664" s="2"/>
      <c r="T664" s="10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IU664" s="2"/>
      <c r="IV664" s="2"/>
      <c r="IW664" s="2"/>
      <c r="IX664" s="2"/>
      <c r="IY664" s="2"/>
      <c r="IZ664" s="2"/>
      <c r="JA664" s="2"/>
      <c r="JB664" s="2"/>
      <c r="J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I665" s="5"/>
      <c r="J665" s="211"/>
      <c r="K665" s="5"/>
      <c r="L665" s="5"/>
      <c r="N665" s="2"/>
      <c r="O665" s="2"/>
      <c r="P665" s="2"/>
      <c r="Q665" s="2"/>
      <c r="R665" s="2"/>
      <c r="S665" s="2"/>
      <c r="T665" s="10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IU665" s="2"/>
      <c r="IV665" s="2"/>
      <c r="IW665" s="2"/>
      <c r="IX665" s="2"/>
      <c r="IY665" s="2"/>
      <c r="IZ665" s="2"/>
      <c r="JA665" s="2"/>
      <c r="JB665" s="2"/>
      <c r="J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I666" s="209"/>
      <c r="J666" s="210"/>
      <c r="K666" s="209"/>
      <c r="L666" s="209"/>
      <c r="N666" s="2"/>
      <c r="O666" s="2"/>
      <c r="P666" s="2"/>
      <c r="Q666" s="2"/>
      <c r="R666" s="2"/>
      <c r="S666" s="2"/>
      <c r="T666" s="10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IU666" s="2"/>
      <c r="IV666" s="2"/>
      <c r="IW666" s="2"/>
      <c r="IX666" s="2"/>
      <c r="IY666" s="2"/>
      <c r="IZ666" s="2"/>
      <c r="JA666" s="2"/>
      <c r="JB666" s="2"/>
      <c r="J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I667" s="5"/>
      <c r="J667" s="211"/>
      <c r="K667" s="5"/>
      <c r="L667" s="5"/>
      <c r="N667" s="2"/>
      <c r="O667" s="2"/>
      <c r="P667" s="2"/>
      <c r="Q667" s="2"/>
      <c r="R667" s="2"/>
      <c r="S667" s="2"/>
      <c r="T667" s="10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IU667" s="2"/>
      <c r="IV667" s="2"/>
      <c r="IW667" s="2"/>
      <c r="IX667" s="2"/>
      <c r="IY667" s="2"/>
      <c r="IZ667" s="2"/>
      <c r="JA667" s="2"/>
      <c r="JB667" s="2"/>
      <c r="J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I668" s="209"/>
      <c r="J668" s="210"/>
      <c r="K668" s="209"/>
      <c r="L668" s="209"/>
      <c r="N668" s="2"/>
      <c r="O668" s="2"/>
      <c r="P668" s="2"/>
      <c r="Q668" s="2"/>
      <c r="R668" s="2"/>
      <c r="S668" s="2"/>
      <c r="T668" s="10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IU668" s="2"/>
      <c r="IV668" s="2"/>
      <c r="IW668" s="2"/>
      <c r="IX668" s="2"/>
      <c r="IY668" s="2"/>
      <c r="IZ668" s="2"/>
      <c r="JA668" s="2"/>
      <c r="JB668" s="2"/>
      <c r="J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I669" s="5"/>
      <c r="J669" s="211"/>
      <c r="K669" s="5"/>
      <c r="L669" s="5"/>
      <c r="N669" s="2"/>
      <c r="O669" s="2"/>
      <c r="P669" s="2"/>
      <c r="Q669" s="2"/>
      <c r="R669" s="2"/>
      <c r="S669" s="2"/>
      <c r="T669" s="10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IU669" s="2"/>
      <c r="IV669" s="2"/>
      <c r="IW669" s="2"/>
      <c r="IX669" s="2"/>
      <c r="IY669" s="2"/>
      <c r="IZ669" s="2"/>
      <c r="JA669" s="2"/>
      <c r="JB669" s="2"/>
      <c r="J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I670" s="209"/>
      <c r="J670" s="210"/>
      <c r="K670" s="209"/>
      <c r="L670" s="209"/>
      <c r="N670" s="2"/>
      <c r="O670" s="2"/>
      <c r="P670" s="2"/>
      <c r="Q670" s="2"/>
      <c r="R670" s="2"/>
      <c r="S670" s="2"/>
      <c r="T670" s="10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IU670" s="2"/>
      <c r="IV670" s="2"/>
      <c r="IW670" s="2"/>
      <c r="IX670" s="2"/>
      <c r="IY670" s="2"/>
      <c r="IZ670" s="2"/>
      <c r="JA670" s="2"/>
      <c r="JB670" s="2"/>
      <c r="J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I671" s="5"/>
      <c r="J671" s="211"/>
      <c r="K671" s="5"/>
      <c r="L671" s="5"/>
      <c r="N671" s="2"/>
      <c r="O671" s="2"/>
      <c r="P671" s="2"/>
      <c r="Q671" s="2"/>
      <c r="R671" s="2"/>
      <c r="S671" s="2"/>
      <c r="T671" s="10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IU671" s="2"/>
      <c r="IV671" s="2"/>
      <c r="IW671" s="2"/>
      <c r="IX671" s="2"/>
      <c r="IY671" s="2"/>
      <c r="IZ671" s="2"/>
      <c r="JA671" s="2"/>
      <c r="JB671" s="2"/>
      <c r="J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I672" s="209"/>
      <c r="J672" s="210"/>
      <c r="K672" s="209"/>
      <c r="L672" s="209"/>
      <c r="N672" s="2"/>
      <c r="O672" s="2"/>
      <c r="P672" s="2"/>
      <c r="Q672" s="2"/>
      <c r="R672" s="2"/>
      <c r="S672" s="2"/>
      <c r="T672" s="10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IU672" s="2"/>
      <c r="IV672" s="2"/>
      <c r="IW672" s="2"/>
      <c r="IX672" s="2"/>
      <c r="IY672" s="2"/>
      <c r="IZ672" s="2"/>
      <c r="JA672" s="2"/>
      <c r="JB672" s="2"/>
      <c r="J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I673" s="5"/>
      <c r="J673" s="211"/>
      <c r="K673" s="5"/>
      <c r="L673" s="5"/>
      <c r="N673" s="2"/>
      <c r="O673" s="2"/>
      <c r="P673" s="2"/>
      <c r="Q673" s="2"/>
      <c r="R673" s="2"/>
      <c r="S673" s="2"/>
      <c r="T673" s="10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IU673" s="2"/>
      <c r="IV673" s="2"/>
      <c r="IW673" s="2"/>
      <c r="IX673" s="2"/>
      <c r="IY673" s="2"/>
      <c r="IZ673" s="2"/>
      <c r="JA673" s="2"/>
      <c r="JB673" s="2"/>
      <c r="J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I674" s="209"/>
      <c r="J674" s="210"/>
      <c r="K674" s="209"/>
      <c r="L674" s="209"/>
      <c r="N674" s="2"/>
      <c r="O674" s="2"/>
      <c r="P674" s="2"/>
      <c r="Q674" s="2"/>
      <c r="R674" s="2"/>
      <c r="S674" s="2"/>
      <c r="T674" s="10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IU674" s="2"/>
      <c r="IV674" s="2"/>
      <c r="IW674" s="2"/>
      <c r="IX674" s="2"/>
      <c r="IY674" s="2"/>
      <c r="IZ674" s="2"/>
      <c r="JA674" s="2"/>
      <c r="JB674" s="2"/>
      <c r="J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I675" s="5"/>
      <c r="J675" s="211"/>
      <c r="K675" s="5"/>
      <c r="L675" s="5"/>
      <c r="N675" s="2"/>
      <c r="O675" s="2"/>
      <c r="P675" s="2"/>
      <c r="Q675" s="2"/>
      <c r="R675" s="2"/>
      <c r="S675" s="2"/>
      <c r="T675" s="10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IU675" s="2"/>
      <c r="IV675" s="2"/>
      <c r="IW675" s="2"/>
      <c r="IX675" s="2"/>
      <c r="IY675" s="2"/>
      <c r="IZ675" s="2"/>
      <c r="JA675" s="2"/>
      <c r="JB675" s="2"/>
      <c r="J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I676" s="209"/>
      <c r="J676" s="210"/>
      <c r="K676" s="209"/>
      <c r="L676" s="209"/>
      <c r="N676" s="2"/>
      <c r="O676" s="2"/>
      <c r="P676" s="2"/>
      <c r="Q676" s="2"/>
      <c r="R676" s="2"/>
      <c r="S676" s="2"/>
      <c r="T676" s="10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IU676" s="2"/>
      <c r="IV676" s="2"/>
      <c r="IW676" s="2"/>
      <c r="IX676" s="2"/>
      <c r="IY676" s="2"/>
      <c r="IZ676" s="2"/>
      <c r="JA676" s="2"/>
      <c r="JB676" s="2"/>
      <c r="J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I677" s="5"/>
      <c r="J677" s="211"/>
      <c r="K677" s="5"/>
      <c r="L677" s="5"/>
      <c r="N677" s="2"/>
      <c r="O677" s="2"/>
      <c r="P677" s="2"/>
      <c r="Q677" s="2"/>
      <c r="R677" s="2"/>
      <c r="S677" s="2"/>
      <c r="T677" s="10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IU677" s="2"/>
      <c r="IV677" s="2"/>
      <c r="IW677" s="2"/>
      <c r="IX677" s="2"/>
      <c r="IY677" s="2"/>
      <c r="IZ677" s="2"/>
      <c r="JA677" s="2"/>
      <c r="JB677" s="2"/>
      <c r="J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I678" s="209"/>
      <c r="J678" s="210"/>
      <c r="K678" s="209"/>
      <c r="L678" s="209"/>
      <c r="N678" s="2"/>
      <c r="O678" s="2"/>
      <c r="P678" s="2"/>
      <c r="Q678" s="2"/>
      <c r="R678" s="2"/>
      <c r="S678" s="2"/>
      <c r="T678" s="10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IU678" s="2"/>
      <c r="IV678" s="2"/>
      <c r="IW678" s="2"/>
      <c r="IX678" s="2"/>
      <c r="IY678" s="2"/>
      <c r="IZ678" s="2"/>
      <c r="JA678" s="2"/>
      <c r="JB678" s="2"/>
      <c r="J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I679" s="5"/>
      <c r="J679" s="211"/>
      <c r="K679" s="5"/>
      <c r="L679" s="5"/>
      <c r="N679" s="2"/>
      <c r="O679" s="2"/>
      <c r="P679" s="2"/>
      <c r="Q679" s="2"/>
      <c r="R679" s="2"/>
      <c r="S679" s="2"/>
      <c r="T679" s="10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IU679" s="2"/>
      <c r="IV679" s="2"/>
      <c r="IW679" s="2"/>
      <c r="IX679" s="2"/>
      <c r="IY679" s="2"/>
      <c r="IZ679" s="2"/>
      <c r="JA679" s="2"/>
      <c r="JB679" s="2"/>
      <c r="J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I680" s="209"/>
      <c r="J680" s="210"/>
      <c r="K680" s="209"/>
      <c r="L680" s="209"/>
      <c r="N680" s="2"/>
      <c r="O680" s="2"/>
      <c r="P680" s="2"/>
      <c r="Q680" s="2"/>
      <c r="R680" s="2"/>
      <c r="S680" s="2"/>
      <c r="T680" s="10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IU680" s="2"/>
      <c r="IV680" s="2"/>
      <c r="IW680" s="2"/>
      <c r="IX680" s="2"/>
      <c r="IY680" s="2"/>
      <c r="IZ680" s="2"/>
      <c r="JA680" s="2"/>
      <c r="JB680" s="2"/>
      <c r="J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I681" s="5"/>
      <c r="J681" s="211"/>
      <c r="K681" s="5"/>
      <c r="L681" s="5"/>
      <c r="N681" s="2"/>
      <c r="O681" s="2"/>
      <c r="P681" s="2"/>
      <c r="Q681" s="2"/>
      <c r="R681" s="2"/>
      <c r="S681" s="2"/>
      <c r="T681" s="10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IU681" s="2"/>
      <c r="IV681" s="2"/>
      <c r="IW681" s="2"/>
      <c r="IX681" s="2"/>
      <c r="IY681" s="2"/>
      <c r="IZ681" s="2"/>
      <c r="JA681" s="2"/>
      <c r="JB681" s="2"/>
      <c r="J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I682" s="209"/>
      <c r="J682" s="210"/>
      <c r="K682" s="209"/>
      <c r="L682" s="209"/>
      <c r="N682" s="2"/>
      <c r="O682" s="2"/>
      <c r="P682" s="2"/>
      <c r="Q682" s="2"/>
      <c r="R682" s="2"/>
      <c r="S682" s="2"/>
      <c r="T682" s="10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IU682" s="2"/>
      <c r="IV682" s="2"/>
      <c r="IW682" s="2"/>
      <c r="IX682" s="2"/>
      <c r="IY682" s="2"/>
      <c r="IZ682" s="2"/>
      <c r="JA682" s="2"/>
      <c r="JB682" s="2"/>
      <c r="J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I683" s="5"/>
      <c r="J683" s="211"/>
      <c r="K683" s="5"/>
      <c r="L683" s="5"/>
      <c r="N683" s="2"/>
      <c r="O683" s="2"/>
      <c r="P683" s="2"/>
      <c r="Q683" s="2"/>
      <c r="R683" s="2"/>
      <c r="S683" s="2"/>
      <c r="T683" s="10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IU683" s="2"/>
      <c r="IV683" s="2"/>
      <c r="IW683" s="2"/>
      <c r="IX683" s="2"/>
      <c r="IY683" s="2"/>
      <c r="IZ683" s="2"/>
      <c r="JA683" s="2"/>
      <c r="JB683" s="2"/>
      <c r="J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I684" s="209"/>
      <c r="J684" s="210"/>
      <c r="K684" s="209"/>
      <c r="L684" s="209"/>
      <c r="N684" s="2"/>
      <c r="O684" s="2"/>
      <c r="P684" s="2"/>
      <c r="Q684" s="2"/>
      <c r="R684" s="2"/>
      <c r="S684" s="2"/>
      <c r="T684" s="10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IU684" s="2"/>
      <c r="IV684" s="2"/>
      <c r="IW684" s="2"/>
      <c r="IX684" s="2"/>
      <c r="IY684" s="2"/>
      <c r="IZ684" s="2"/>
      <c r="JA684" s="2"/>
      <c r="JB684" s="2"/>
      <c r="J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I685" s="5"/>
      <c r="J685" s="211"/>
      <c r="K685" s="5"/>
      <c r="L685" s="5"/>
      <c r="N685" s="2"/>
      <c r="O685" s="2"/>
      <c r="P685" s="2"/>
      <c r="Q685" s="2"/>
      <c r="R685" s="2"/>
      <c r="S685" s="2"/>
      <c r="T685" s="10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IU685" s="2"/>
      <c r="IV685" s="2"/>
      <c r="IW685" s="2"/>
      <c r="IX685" s="2"/>
      <c r="IY685" s="2"/>
      <c r="IZ685" s="2"/>
      <c r="JA685" s="2"/>
      <c r="JB685" s="2"/>
      <c r="J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I686" s="209"/>
      <c r="J686" s="210"/>
      <c r="K686" s="209"/>
      <c r="L686" s="209"/>
      <c r="N686" s="2"/>
      <c r="O686" s="2"/>
      <c r="P686" s="2"/>
      <c r="Q686" s="2"/>
      <c r="R686" s="2"/>
      <c r="S686" s="2"/>
      <c r="T686" s="10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IU686" s="2"/>
      <c r="IV686" s="2"/>
      <c r="IW686" s="2"/>
      <c r="IX686" s="2"/>
      <c r="IY686" s="2"/>
      <c r="IZ686" s="2"/>
      <c r="JA686" s="2"/>
      <c r="JB686" s="2"/>
      <c r="J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I687" s="5"/>
      <c r="J687" s="211"/>
      <c r="K687" s="5"/>
      <c r="L687" s="5"/>
      <c r="N687" s="2"/>
      <c r="O687" s="2"/>
      <c r="P687" s="2"/>
      <c r="Q687" s="2"/>
      <c r="R687" s="2"/>
      <c r="S687" s="2"/>
      <c r="T687" s="10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IU687" s="2"/>
      <c r="IV687" s="2"/>
      <c r="IW687" s="2"/>
      <c r="IX687" s="2"/>
      <c r="IY687" s="2"/>
      <c r="IZ687" s="2"/>
      <c r="JA687" s="2"/>
      <c r="JB687" s="2"/>
      <c r="J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I688" s="209"/>
      <c r="J688" s="210"/>
      <c r="K688" s="209"/>
      <c r="L688" s="209"/>
      <c r="N688" s="2"/>
      <c r="O688" s="2"/>
      <c r="P688" s="2"/>
      <c r="Q688" s="2"/>
      <c r="R688" s="2"/>
      <c r="S688" s="2"/>
      <c r="T688" s="10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IU688" s="2"/>
      <c r="IV688" s="2"/>
      <c r="IW688" s="2"/>
      <c r="IX688" s="2"/>
      <c r="IY688" s="2"/>
      <c r="IZ688" s="2"/>
      <c r="JA688" s="2"/>
      <c r="JB688" s="2"/>
      <c r="J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I689" s="5"/>
      <c r="J689" s="211"/>
      <c r="K689" s="5"/>
      <c r="L689" s="5"/>
      <c r="N689" s="2"/>
      <c r="O689" s="2"/>
      <c r="P689" s="2"/>
      <c r="Q689" s="2"/>
      <c r="R689" s="2"/>
      <c r="S689" s="2"/>
      <c r="T689" s="10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IU689" s="2"/>
      <c r="IV689" s="2"/>
      <c r="IW689" s="2"/>
      <c r="IX689" s="2"/>
      <c r="IY689" s="2"/>
      <c r="IZ689" s="2"/>
      <c r="JA689" s="2"/>
      <c r="JB689" s="2"/>
      <c r="J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I690" s="209"/>
      <c r="J690" s="210"/>
      <c r="K690" s="209"/>
      <c r="L690" s="209"/>
      <c r="N690" s="2"/>
      <c r="O690" s="2"/>
      <c r="P690" s="2"/>
      <c r="Q690" s="2"/>
      <c r="R690" s="2"/>
      <c r="S690" s="2"/>
      <c r="T690" s="10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IU690" s="2"/>
      <c r="IV690" s="2"/>
      <c r="IW690" s="2"/>
      <c r="IX690" s="2"/>
      <c r="IY690" s="2"/>
      <c r="IZ690" s="2"/>
      <c r="JA690" s="2"/>
      <c r="JB690" s="2"/>
      <c r="J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I691" s="5"/>
      <c r="J691" s="211"/>
      <c r="K691" s="5"/>
      <c r="L691" s="5"/>
      <c r="N691" s="2"/>
      <c r="O691" s="2"/>
      <c r="P691" s="2"/>
      <c r="Q691" s="2"/>
      <c r="R691" s="2"/>
      <c r="S691" s="2"/>
      <c r="T691" s="10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IU691" s="2"/>
      <c r="IV691" s="2"/>
      <c r="IW691" s="2"/>
      <c r="IX691" s="2"/>
      <c r="IY691" s="2"/>
      <c r="IZ691" s="2"/>
      <c r="JA691" s="2"/>
      <c r="JB691" s="2"/>
      <c r="J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I692" s="209"/>
      <c r="J692" s="210"/>
      <c r="K692" s="209"/>
      <c r="L692" s="209"/>
      <c r="N692" s="2"/>
      <c r="O692" s="2"/>
      <c r="P692" s="2"/>
      <c r="Q692" s="2"/>
      <c r="R692" s="2"/>
      <c r="S692" s="2"/>
      <c r="T692" s="10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IU692" s="2"/>
      <c r="IV692" s="2"/>
      <c r="IW692" s="2"/>
      <c r="IX692" s="2"/>
      <c r="IY692" s="2"/>
      <c r="IZ692" s="2"/>
      <c r="JA692" s="2"/>
      <c r="JB692" s="2"/>
      <c r="J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I693" s="5"/>
      <c r="J693" s="211"/>
      <c r="K693" s="5"/>
      <c r="L693" s="5"/>
      <c r="N693" s="2"/>
      <c r="O693" s="2"/>
      <c r="P693" s="2"/>
      <c r="Q693" s="2"/>
      <c r="R693" s="2"/>
      <c r="S693" s="2"/>
      <c r="T693" s="10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IU693" s="2"/>
      <c r="IV693" s="2"/>
      <c r="IW693" s="2"/>
      <c r="IX693" s="2"/>
      <c r="IY693" s="2"/>
      <c r="IZ693" s="2"/>
      <c r="JA693" s="2"/>
      <c r="JB693" s="2"/>
      <c r="J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I694" s="209"/>
      <c r="J694" s="210"/>
      <c r="K694" s="209"/>
      <c r="L694" s="209"/>
      <c r="N694" s="2"/>
      <c r="O694" s="2"/>
      <c r="P694" s="2"/>
      <c r="Q694" s="2"/>
      <c r="R694" s="2"/>
      <c r="S694" s="2"/>
      <c r="T694" s="10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IU694" s="2"/>
      <c r="IV694" s="2"/>
      <c r="IW694" s="2"/>
      <c r="IX694" s="2"/>
      <c r="IY694" s="2"/>
      <c r="IZ694" s="2"/>
      <c r="JA694" s="2"/>
      <c r="JB694" s="2"/>
      <c r="J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I695" s="5"/>
      <c r="J695" s="211"/>
      <c r="K695" s="5"/>
      <c r="L695" s="5"/>
      <c r="N695" s="2"/>
      <c r="O695" s="2"/>
      <c r="P695" s="2"/>
      <c r="Q695" s="2"/>
      <c r="R695" s="2"/>
      <c r="S695" s="2"/>
      <c r="T695" s="10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IU695" s="2"/>
      <c r="IV695" s="2"/>
      <c r="IW695" s="2"/>
      <c r="IX695" s="2"/>
      <c r="IY695" s="2"/>
      <c r="IZ695" s="2"/>
      <c r="JA695" s="2"/>
      <c r="JB695" s="2"/>
      <c r="J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I696" s="209"/>
      <c r="J696" s="210"/>
      <c r="K696" s="209"/>
      <c r="L696" s="209"/>
      <c r="N696" s="2"/>
      <c r="O696" s="2"/>
      <c r="P696" s="2"/>
      <c r="Q696" s="2"/>
      <c r="R696" s="2"/>
      <c r="S696" s="2"/>
      <c r="T696" s="10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IU696" s="2"/>
      <c r="IV696" s="2"/>
      <c r="IW696" s="2"/>
      <c r="IX696" s="2"/>
      <c r="IY696" s="2"/>
      <c r="IZ696" s="2"/>
      <c r="JA696" s="2"/>
      <c r="JB696" s="2"/>
      <c r="J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I697" s="5"/>
      <c r="J697" s="211"/>
      <c r="K697" s="5"/>
      <c r="L697" s="5"/>
      <c r="N697" s="2"/>
      <c r="O697" s="2"/>
      <c r="P697" s="2"/>
      <c r="Q697" s="2"/>
      <c r="R697" s="2"/>
      <c r="S697" s="2"/>
      <c r="T697" s="10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IU697" s="2"/>
      <c r="IV697" s="2"/>
      <c r="IW697" s="2"/>
      <c r="IX697" s="2"/>
      <c r="IY697" s="2"/>
      <c r="IZ697" s="2"/>
      <c r="JA697" s="2"/>
      <c r="JB697" s="2"/>
      <c r="J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I698" s="209"/>
      <c r="J698" s="210"/>
      <c r="K698" s="209"/>
      <c r="L698" s="209"/>
      <c r="N698" s="2"/>
      <c r="O698" s="2"/>
      <c r="P698" s="2"/>
      <c r="Q698" s="2"/>
      <c r="R698" s="2"/>
      <c r="S698" s="2"/>
      <c r="T698" s="10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IU698" s="2"/>
      <c r="IV698" s="2"/>
      <c r="IW698" s="2"/>
      <c r="IX698" s="2"/>
      <c r="IY698" s="2"/>
      <c r="IZ698" s="2"/>
      <c r="JA698" s="2"/>
      <c r="JB698" s="2"/>
      <c r="J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I699" s="5"/>
      <c r="J699" s="211"/>
      <c r="K699" s="5"/>
      <c r="L699" s="5"/>
      <c r="N699" s="2"/>
      <c r="O699" s="2"/>
      <c r="P699" s="2"/>
      <c r="Q699" s="2"/>
      <c r="R699" s="2"/>
      <c r="S699" s="2"/>
      <c r="T699" s="10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IU699" s="2"/>
      <c r="IV699" s="2"/>
      <c r="IW699" s="2"/>
      <c r="IX699" s="2"/>
      <c r="IY699" s="2"/>
      <c r="IZ699" s="2"/>
      <c r="JA699" s="2"/>
      <c r="JB699" s="2"/>
      <c r="J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I700" s="209"/>
      <c r="J700" s="210"/>
      <c r="K700" s="209"/>
      <c r="L700" s="209"/>
      <c r="N700" s="2"/>
      <c r="O700" s="2"/>
      <c r="P700" s="2"/>
      <c r="Q700" s="2"/>
      <c r="R700" s="2"/>
      <c r="S700" s="2"/>
      <c r="T700" s="10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IU700" s="2"/>
      <c r="IV700" s="2"/>
      <c r="IW700" s="2"/>
      <c r="IX700" s="2"/>
      <c r="IY700" s="2"/>
      <c r="IZ700" s="2"/>
      <c r="JA700" s="2"/>
      <c r="JB700" s="2"/>
      <c r="J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I701" s="5"/>
      <c r="J701" s="211"/>
      <c r="K701" s="5"/>
      <c r="L701" s="5"/>
      <c r="N701" s="2"/>
      <c r="O701" s="2"/>
      <c r="P701" s="2"/>
      <c r="Q701" s="2"/>
      <c r="R701" s="2"/>
      <c r="S701" s="2"/>
      <c r="T701" s="10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IU701" s="2"/>
      <c r="IV701" s="2"/>
      <c r="IW701" s="2"/>
      <c r="IX701" s="2"/>
      <c r="IY701" s="2"/>
      <c r="IZ701" s="2"/>
      <c r="JA701" s="2"/>
      <c r="JB701" s="2"/>
      <c r="J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I702" s="209"/>
      <c r="J702" s="210"/>
      <c r="K702" s="209"/>
      <c r="L702" s="209"/>
      <c r="N702" s="2"/>
      <c r="O702" s="2"/>
      <c r="P702" s="2"/>
      <c r="Q702" s="2"/>
      <c r="R702" s="2"/>
      <c r="S702" s="2"/>
      <c r="T702" s="10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IU702" s="2"/>
      <c r="IV702" s="2"/>
      <c r="IW702" s="2"/>
      <c r="IX702" s="2"/>
      <c r="IY702" s="2"/>
      <c r="IZ702" s="2"/>
      <c r="JA702" s="2"/>
      <c r="JB702" s="2"/>
      <c r="J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I703" s="5"/>
      <c r="J703" s="211"/>
      <c r="K703" s="5"/>
      <c r="L703" s="5"/>
      <c r="N703" s="2"/>
      <c r="O703" s="2"/>
      <c r="P703" s="2"/>
      <c r="Q703" s="2"/>
      <c r="R703" s="2"/>
      <c r="S703" s="2"/>
      <c r="T703" s="10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IU703" s="2"/>
      <c r="IV703" s="2"/>
      <c r="IW703" s="2"/>
      <c r="IX703" s="2"/>
      <c r="IY703" s="2"/>
      <c r="IZ703" s="2"/>
      <c r="JA703" s="2"/>
      <c r="JB703" s="2"/>
      <c r="J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I704" s="209"/>
      <c r="J704" s="210"/>
      <c r="K704" s="209"/>
      <c r="L704" s="209"/>
      <c r="N704" s="2"/>
      <c r="O704" s="2"/>
      <c r="P704" s="2"/>
      <c r="Q704" s="2"/>
      <c r="R704" s="2"/>
      <c r="S704" s="2"/>
      <c r="T704" s="10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IU704" s="2"/>
      <c r="IV704" s="2"/>
      <c r="IW704" s="2"/>
      <c r="IX704" s="2"/>
      <c r="IY704" s="2"/>
      <c r="IZ704" s="2"/>
      <c r="JA704" s="2"/>
      <c r="JB704" s="2"/>
      <c r="J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I705" s="5"/>
      <c r="J705" s="211"/>
      <c r="K705" s="5"/>
      <c r="L705" s="5"/>
      <c r="N705" s="2"/>
      <c r="O705" s="2"/>
      <c r="P705" s="2"/>
      <c r="Q705" s="2"/>
      <c r="R705" s="2"/>
      <c r="S705" s="2"/>
      <c r="T705" s="10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IU705" s="2"/>
      <c r="IV705" s="2"/>
      <c r="IW705" s="2"/>
      <c r="IX705" s="2"/>
      <c r="IY705" s="2"/>
      <c r="IZ705" s="2"/>
      <c r="JA705" s="2"/>
      <c r="JB705" s="2"/>
      <c r="J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I706" s="209"/>
      <c r="J706" s="210"/>
      <c r="K706" s="209"/>
      <c r="L706" s="209"/>
      <c r="N706" s="2"/>
      <c r="O706" s="2"/>
      <c r="P706" s="2"/>
      <c r="Q706" s="2"/>
      <c r="R706" s="2"/>
      <c r="S706" s="2"/>
      <c r="T706" s="10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IU706" s="2"/>
      <c r="IV706" s="2"/>
      <c r="IW706" s="2"/>
      <c r="IX706" s="2"/>
      <c r="IY706" s="2"/>
      <c r="IZ706" s="2"/>
      <c r="JA706" s="2"/>
      <c r="JB706" s="2"/>
      <c r="J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I707" s="5"/>
      <c r="J707" s="211"/>
      <c r="K707" s="5"/>
      <c r="L707" s="5"/>
      <c r="N707" s="2"/>
      <c r="O707" s="2"/>
      <c r="P707" s="2"/>
      <c r="Q707" s="2"/>
      <c r="R707" s="2"/>
      <c r="S707" s="2"/>
      <c r="T707" s="10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IU707" s="2"/>
      <c r="IV707" s="2"/>
      <c r="IW707" s="2"/>
      <c r="IX707" s="2"/>
      <c r="IY707" s="2"/>
      <c r="IZ707" s="2"/>
      <c r="JA707" s="2"/>
      <c r="JB707" s="2"/>
      <c r="J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I708" s="209"/>
      <c r="J708" s="210"/>
      <c r="K708" s="209"/>
      <c r="L708" s="209"/>
      <c r="N708" s="2"/>
      <c r="O708" s="2"/>
      <c r="P708" s="2"/>
      <c r="Q708" s="2"/>
      <c r="R708" s="2"/>
      <c r="S708" s="2"/>
      <c r="T708" s="10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IU708" s="2"/>
      <c r="IV708" s="2"/>
      <c r="IW708" s="2"/>
      <c r="IX708" s="2"/>
      <c r="IY708" s="2"/>
      <c r="IZ708" s="2"/>
      <c r="JA708" s="2"/>
      <c r="JB708" s="2"/>
      <c r="J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I709" s="5"/>
      <c r="J709" s="211"/>
      <c r="K709" s="5"/>
      <c r="L709" s="5"/>
      <c r="N709" s="2"/>
      <c r="O709" s="2"/>
      <c r="P709" s="2"/>
      <c r="Q709" s="2"/>
      <c r="R709" s="2"/>
      <c r="S709" s="2"/>
      <c r="T709" s="10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IU709" s="2"/>
      <c r="IV709" s="2"/>
      <c r="IW709" s="2"/>
      <c r="IX709" s="2"/>
      <c r="IY709" s="2"/>
      <c r="IZ709" s="2"/>
      <c r="JA709" s="2"/>
      <c r="JB709" s="2"/>
      <c r="J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I710" s="209"/>
      <c r="J710" s="210"/>
      <c r="K710" s="209"/>
      <c r="L710" s="209"/>
      <c r="N710" s="2"/>
      <c r="O710" s="2"/>
      <c r="P710" s="2"/>
      <c r="Q710" s="2"/>
      <c r="R710" s="2"/>
      <c r="S710" s="2"/>
      <c r="T710" s="10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IU710" s="2"/>
      <c r="IV710" s="2"/>
      <c r="IW710" s="2"/>
      <c r="IX710" s="2"/>
      <c r="IY710" s="2"/>
      <c r="IZ710" s="2"/>
      <c r="JA710" s="2"/>
      <c r="JB710" s="2"/>
      <c r="J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I711" s="5"/>
      <c r="J711" s="211"/>
      <c r="K711" s="5"/>
      <c r="L711" s="5"/>
      <c r="N711" s="2"/>
      <c r="O711" s="2"/>
      <c r="P711" s="2"/>
      <c r="Q711" s="2"/>
      <c r="R711" s="2"/>
      <c r="S711" s="2"/>
      <c r="T711" s="10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IU711" s="2"/>
      <c r="IV711" s="2"/>
      <c r="IW711" s="2"/>
      <c r="IX711" s="2"/>
      <c r="IY711" s="2"/>
      <c r="IZ711" s="2"/>
      <c r="JA711" s="2"/>
      <c r="JB711" s="2"/>
      <c r="J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I712" s="209"/>
      <c r="J712" s="210"/>
      <c r="K712" s="209"/>
      <c r="L712" s="209"/>
      <c r="N712" s="2"/>
      <c r="O712" s="2"/>
      <c r="P712" s="2"/>
      <c r="Q712" s="2"/>
      <c r="R712" s="2"/>
      <c r="S712" s="2"/>
      <c r="T712" s="10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IU712" s="2"/>
      <c r="IV712" s="2"/>
      <c r="IW712" s="2"/>
      <c r="IX712" s="2"/>
      <c r="IY712" s="2"/>
      <c r="IZ712" s="2"/>
      <c r="JA712" s="2"/>
      <c r="JB712" s="2"/>
      <c r="J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I713" s="5"/>
      <c r="J713" s="211"/>
      <c r="K713" s="5"/>
      <c r="L713" s="5"/>
      <c r="N713" s="2"/>
      <c r="O713" s="2"/>
      <c r="P713" s="2"/>
      <c r="Q713" s="2"/>
      <c r="R713" s="2"/>
      <c r="S713" s="2"/>
      <c r="T713" s="10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IU713" s="2"/>
      <c r="IV713" s="2"/>
      <c r="IW713" s="2"/>
      <c r="IX713" s="2"/>
      <c r="IY713" s="2"/>
      <c r="IZ713" s="2"/>
      <c r="JA713" s="2"/>
      <c r="JB713" s="2"/>
      <c r="J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I714" s="209"/>
      <c r="J714" s="210"/>
      <c r="K714" s="209"/>
      <c r="L714" s="209"/>
      <c r="N714" s="2"/>
      <c r="O714" s="2"/>
      <c r="P714" s="2"/>
      <c r="Q714" s="2"/>
      <c r="R714" s="2"/>
      <c r="S714" s="2"/>
      <c r="T714" s="10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IU714" s="2"/>
      <c r="IV714" s="2"/>
      <c r="IW714" s="2"/>
      <c r="IX714" s="2"/>
      <c r="IY714" s="2"/>
      <c r="IZ714" s="2"/>
      <c r="JA714" s="2"/>
      <c r="JB714" s="2"/>
      <c r="J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I715" s="5"/>
      <c r="J715" s="211"/>
      <c r="K715" s="5"/>
      <c r="L715" s="5"/>
      <c r="N715" s="2"/>
      <c r="O715" s="2"/>
      <c r="P715" s="2"/>
      <c r="Q715" s="2"/>
      <c r="R715" s="2"/>
      <c r="S715" s="2"/>
      <c r="T715" s="10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IU715" s="2"/>
      <c r="IV715" s="2"/>
      <c r="IW715" s="2"/>
      <c r="IX715" s="2"/>
      <c r="IY715" s="2"/>
      <c r="IZ715" s="2"/>
      <c r="JA715" s="2"/>
      <c r="JB715" s="2"/>
      <c r="J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I716" s="209"/>
      <c r="J716" s="210"/>
      <c r="K716" s="209"/>
      <c r="L716" s="209"/>
      <c r="N716" s="2"/>
      <c r="O716" s="2"/>
      <c r="P716" s="2"/>
      <c r="Q716" s="2"/>
      <c r="R716" s="2"/>
      <c r="S716" s="2"/>
      <c r="T716" s="10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IU716" s="2"/>
      <c r="IV716" s="2"/>
      <c r="IW716" s="2"/>
      <c r="IX716" s="2"/>
      <c r="IY716" s="2"/>
      <c r="IZ716" s="2"/>
      <c r="JA716" s="2"/>
      <c r="JB716" s="2"/>
      <c r="J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I717" s="5"/>
      <c r="J717" s="211"/>
      <c r="K717" s="5"/>
      <c r="L717" s="5"/>
      <c r="N717" s="2"/>
      <c r="O717" s="2"/>
      <c r="P717" s="2"/>
      <c r="Q717" s="2"/>
      <c r="R717" s="2"/>
      <c r="S717" s="2"/>
      <c r="T717" s="10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IU717" s="2"/>
      <c r="IV717" s="2"/>
      <c r="IW717" s="2"/>
      <c r="IX717" s="2"/>
      <c r="IY717" s="2"/>
      <c r="IZ717" s="2"/>
      <c r="JA717" s="2"/>
      <c r="JB717" s="2"/>
      <c r="J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I718" s="209"/>
      <c r="J718" s="210"/>
      <c r="K718" s="209"/>
      <c r="L718" s="209"/>
      <c r="N718" s="2"/>
      <c r="O718" s="2"/>
      <c r="P718" s="2"/>
      <c r="Q718" s="2"/>
      <c r="R718" s="2"/>
      <c r="S718" s="2"/>
      <c r="T718" s="10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IU718" s="2"/>
      <c r="IV718" s="2"/>
      <c r="IW718" s="2"/>
      <c r="IX718" s="2"/>
      <c r="IY718" s="2"/>
      <c r="IZ718" s="2"/>
      <c r="JA718" s="2"/>
      <c r="JB718" s="2"/>
      <c r="J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I719" s="5"/>
      <c r="J719" s="211"/>
      <c r="K719" s="5"/>
      <c r="L719" s="5"/>
      <c r="N719" s="2"/>
      <c r="O719" s="2"/>
      <c r="P719" s="2"/>
      <c r="Q719" s="2"/>
      <c r="R719" s="2"/>
      <c r="S719" s="2"/>
      <c r="T719" s="10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IU719" s="2"/>
      <c r="IV719" s="2"/>
      <c r="IW719" s="2"/>
      <c r="IX719" s="2"/>
      <c r="IY719" s="2"/>
      <c r="IZ719" s="2"/>
      <c r="JA719" s="2"/>
      <c r="JB719" s="2"/>
      <c r="J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I720" s="209"/>
      <c r="J720" s="210"/>
      <c r="K720" s="209"/>
      <c r="L720" s="209"/>
      <c r="N720" s="2"/>
      <c r="O720" s="2"/>
      <c r="P720" s="2"/>
      <c r="Q720" s="2"/>
      <c r="R720" s="2"/>
      <c r="S720" s="2"/>
      <c r="T720" s="10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IU720" s="2"/>
      <c r="IV720" s="2"/>
      <c r="IW720" s="2"/>
      <c r="IX720" s="2"/>
      <c r="IY720" s="2"/>
      <c r="IZ720" s="2"/>
      <c r="JA720" s="2"/>
      <c r="JB720" s="2"/>
      <c r="J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I721" s="5"/>
      <c r="J721" s="211"/>
      <c r="K721" s="5"/>
      <c r="L721" s="5"/>
      <c r="N721" s="2"/>
      <c r="O721" s="2"/>
      <c r="P721" s="2"/>
      <c r="Q721" s="2"/>
      <c r="R721" s="2"/>
      <c r="S721" s="2"/>
      <c r="T721" s="10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IU721" s="2"/>
      <c r="IV721" s="2"/>
      <c r="IW721" s="2"/>
      <c r="IX721" s="2"/>
      <c r="IY721" s="2"/>
      <c r="IZ721" s="2"/>
      <c r="JA721" s="2"/>
      <c r="JB721" s="2"/>
      <c r="J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I722" s="209"/>
      <c r="J722" s="210"/>
      <c r="K722" s="209"/>
      <c r="L722" s="209"/>
      <c r="N722" s="2"/>
      <c r="O722" s="2"/>
      <c r="P722" s="2"/>
      <c r="Q722" s="2"/>
      <c r="R722" s="2"/>
      <c r="S722" s="2"/>
      <c r="T722" s="10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IU722" s="2"/>
      <c r="IV722" s="2"/>
      <c r="IW722" s="2"/>
      <c r="IX722" s="2"/>
      <c r="IY722" s="2"/>
      <c r="IZ722" s="2"/>
      <c r="JA722" s="2"/>
      <c r="JB722" s="2"/>
      <c r="J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I723" s="5"/>
      <c r="J723" s="211"/>
      <c r="K723" s="5"/>
      <c r="L723" s="5"/>
      <c r="N723" s="2"/>
      <c r="O723" s="2"/>
      <c r="P723" s="2"/>
      <c r="Q723" s="2"/>
      <c r="R723" s="2"/>
      <c r="S723" s="2"/>
      <c r="T723" s="10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IU723" s="2"/>
      <c r="IV723" s="2"/>
      <c r="IW723" s="2"/>
      <c r="IX723" s="2"/>
      <c r="IY723" s="2"/>
      <c r="IZ723" s="2"/>
      <c r="JA723" s="2"/>
      <c r="JB723" s="2"/>
      <c r="J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I724" s="209"/>
      <c r="J724" s="210"/>
      <c r="K724" s="209"/>
      <c r="L724" s="209"/>
      <c r="N724" s="2"/>
      <c r="O724" s="2"/>
      <c r="P724" s="2"/>
      <c r="Q724" s="2"/>
      <c r="R724" s="2"/>
      <c r="S724" s="2"/>
      <c r="T724" s="10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IU724" s="2"/>
      <c r="IV724" s="2"/>
      <c r="IW724" s="2"/>
      <c r="IX724" s="2"/>
      <c r="IY724" s="2"/>
      <c r="IZ724" s="2"/>
      <c r="JA724" s="2"/>
      <c r="JB724" s="2"/>
      <c r="J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I725" s="5"/>
      <c r="J725" s="211"/>
      <c r="K725" s="5"/>
      <c r="L725" s="5"/>
      <c r="N725" s="2"/>
      <c r="O725" s="2"/>
      <c r="P725" s="2"/>
      <c r="Q725" s="2"/>
      <c r="R725" s="2"/>
      <c r="S725" s="2"/>
      <c r="T725" s="10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IU725" s="2"/>
      <c r="IV725" s="2"/>
      <c r="IW725" s="2"/>
      <c r="IX725" s="2"/>
      <c r="IY725" s="2"/>
      <c r="IZ725" s="2"/>
      <c r="JA725" s="2"/>
      <c r="JB725" s="2"/>
      <c r="J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I726" s="209"/>
      <c r="J726" s="210"/>
      <c r="K726" s="209"/>
      <c r="L726" s="209"/>
      <c r="N726" s="2"/>
      <c r="O726" s="2"/>
      <c r="P726" s="2"/>
      <c r="Q726" s="2"/>
      <c r="R726" s="2"/>
      <c r="S726" s="2"/>
      <c r="T726" s="10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IU726" s="2"/>
      <c r="IV726" s="2"/>
      <c r="IW726" s="2"/>
      <c r="IX726" s="2"/>
      <c r="IY726" s="2"/>
      <c r="IZ726" s="2"/>
      <c r="JA726" s="2"/>
      <c r="JB726" s="2"/>
      <c r="J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I727" s="5"/>
      <c r="J727" s="211"/>
      <c r="K727" s="5"/>
      <c r="L727" s="5"/>
      <c r="N727" s="2"/>
      <c r="O727" s="2"/>
      <c r="P727" s="2"/>
      <c r="Q727" s="2"/>
      <c r="R727" s="2"/>
      <c r="S727" s="2"/>
      <c r="T727" s="10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IU727" s="2"/>
      <c r="IV727" s="2"/>
      <c r="IW727" s="2"/>
      <c r="IX727" s="2"/>
      <c r="IY727" s="2"/>
      <c r="IZ727" s="2"/>
      <c r="JA727" s="2"/>
      <c r="JB727" s="2"/>
      <c r="J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I728" s="209"/>
      <c r="J728" s="210"/>
      <c r="K728" s="209"/>
      <c r="L728" s="209"/>
      <c r="N728" s="2"/>
      <c r="O728" s="2"/>
      <c r="P728" s="2"/>
      <c r="Q728" s="2"/>
      <c r="R728" s="2"/>
      <c r="S728" s="2"/>
      <c r="T728" s="10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IU728" s="2"/>
      <c r="IV728" s="2"/>
      <c r="IW728" s="2"/>
      <c r="IX728" s="2"/>
      <c r="IY728" s="2"/>
      <c r="IZ728" s="2"/>
      <c r="JA728" s="2"/>
      <c r="JB728" s="2"/>
      <c r="J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I729" s="5"/>
      <c r="J729" s="211"/>
      <c r="K729" s="5"/>
      <c r="L729" s="5"/>
      <c r="N729" s="2"/>
      <c r="O729" s="2"/>
      <c r="P729" s="2"/>
      <c r="Q729" s="2"/>
      <c r="R729" s="2"/>
      <c r="S729" s="2"/>
      <c r="T729" s="10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IU729" s="2"/>
      <c r="IV729" s="2"/>
      <c r="IW729" s="2"/>
      <c r="IX729" s="2"/>
      <c r="IY729" s="2"/>
      <c r="IZ729" s="2"/>
      <c r="JA729" s="2"/>
      <c r="JB729" s="2"/>
      <c r="J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I730" s="209"/>
      <c r="J730" s="210"/>
      <c r="K730" s="209"/>
      <c r="L730" s="209"/>
      <c r="N730" s="2"/>
      <c r="O730" s="2"/>
      <c r="P730" s="2"/>
      <c r="Q730" s="2"/>
      <c r="R730" s="2"/>
      <c r="S730" s="2"/>
      <c r="T730" s="10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IU730" s="2"/>
      <c r="IV730" s="2"/>
      <c r="IW730" s="2"/>
      <c r="IX730" s="2"/>
      <c r="IY730" s="2"/>
      <c r="IZ730" s="2"/>
      <c r="JA730" s="2"/>
      <c r="JB730" s="2"/>
      <c r="J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I731" s="5"/>
      <c r="J731" s="211"/>
      <c r="K731" s="5"/>
      <c r="L731" s="5"/>
      <c r="N731" s="2"/>
      <c r="O731" s="2"/>
      <c r="P731" s="2"/>
      <c r="Q731" s="2"/>
      <c r="R731" s="2"/>
      <c r="S731" s="2"/>
      <c r="T731" s="10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IU731" s="2"/>
      <c r="IV731" s="2"/>
      <c r="IW731" s="2"/>
      <c r="IX731" s="2"/>
      <c r="IY731" s="2"/>
      <c r="IZ731" s="2"/>
      <c r="JA731" s="2"/>
      <c r="JB731" s="2"/>
      <c r="J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I732" s="209"/>
      <c r="J732" s="210"/>
      <c r="K732" s="209"/>
      <c r="L732" s="209"/>
      <c r="N732" s="2"/>
      <c r="O732" s="2"/>
      <c r="P732" s="2"/>
      <c r="Q732" s="2"/>
      <c r="R732" s="2"/>
      <c r="S732" s="2"/>
      <c r="T732" s="10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IU732" s="2"/>
      <c r="IV732" s="2"/>
      <c r="IW732" s="2"/>
      <c r="IX732" s="2"/>
      <c r="IY732" s="2"/>
      <c r="IZ732" s="2"/>
      <c r="JA732" s="2"/>
      <c r="JB732" s="2"/>
      <c r="J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I733" s="5"/>
      <c r="J733" s="211"/>
      <c r="K733" s="5"/>
      <c r="L733" s="5"/>
      <c r="N733" s="2"/>
      <c r="O733" s="2"/>
      <c r="P733" s="2"/>
      <c r="Q733" s="2"/>
      <c r="R733" s="2"/>
      <c r="S733" s="2"/>
      <c r="T733" s="10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IU733" s="2"/>
      <c r="IV733" s="2"/>
      <c r="IW733" s="2"/>
      <c r="IX733" s="2"/>
      <c r="IY733" s="2"/>
      <c r="IZ733" s="2"/>
      <c r="JA733" s="2"/>
      <c r="JB733" s="2"/>
      <c r="J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I734" s="209"/>
      <c r="J734" s="210"/>
      <c r="K734" s="209"/>
      <c r="L734" s="209"/>
      <c r="N734" s="2"/>
      <c r="O734" s="2"/>
      <c r="P734" s="2"/>
      <c r="Q734" s="2"/>
      <c r="R734" s="2"/>
      <c r="S734" s="2"/>
      <c r="T734" s="10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IU734" s="2"/>
      <c r="IV734" s="2"/>
      <c r="IW734" s="2"/>
      <c r="IX734" s="2"/>
      <c r="IY734" s="2"/>
      <c r="IZ734" s="2"/>
      <c r="JA734" s="2"/>
      <c r="JB734" s="2"/>
      <c r="J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I735" s="5"/>
      <c r="J735" s="211"/>
      <c r="K735" s="5"/>
      <c r="L735" s="5"/>
      <c r="N735" s="2"/>
      <c r="O735" s="2"/>
      <c r="P735" s="2"/>
      <c r="Q735" s="2"/>
      <c r="R735" s="2"/>
      <c r="S735" s="2"/>
      <c r="T735" s="10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IU735" s="2"/>
      <c r="IV735" s="2"/>
      <c r="IW735" s="2"/>
      <c r="IX735" s="2"/>
      <c r="IY735" s="2"/>
      <c r="IZ735" s="2"/>
      <c r="JA735" s="2"/>
      <c r="JB735" s="2"/>
      <c r="J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I736" s="209"/>
      <c r="J736" s="210"/>
      <c r="K736" s="209"/>
      <c r="L736" s="209"/>
      <c r="N736" s="2"/>
      <c r="O736" s="2"/>
      <c r="P736" s="2"/>
      <c r="Q736" s="2"/>
      <c r="R736" s="2"/>
      <c r="S736" s="2"/>
      <c r="T736" s="10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IU736" s="2"/>
      <c r="IV736" s="2"/>
      <c r="IW736" s="2"/>
      <c r="IX736" s="2"/>
      <c r="IY736" s="2"/>
      <c r="IZ736" s="2"/>
      <c r="JA736" s="2"/>
      <c r="JB736" s="2"/>
      <c r="J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I737" s="5"/>
      <c r="J737" s="211"/>
      <c r="K737" s="5"/>
      <c r="L737" s="5"/>
      <c r="N737" s="2"/>
      <c r="O737" s="2"/>
      <c r="P737" s="2"/>
      <c r="Q737" s="2"/>
      <c r="R737" s="2"/>
      <c r="S737" s="2"/>
      <c r="T737" s="10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IU737" s="2"/>
      <c r="IV737" s="2"/>
      <c r="IW737" s="2"/>
      <c r="IX737" s="2"/>
      <c r="IY737" s="2"/>
      <c r="IZ737" s="2"/>
      <c r="JA737" s="2"/>
      <c r="JB737" s="2"/>
      <c r="J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I738" s="209"/>
      <c r="J738" s="210"/>
      <c r="K738" s="209"/>
      <c r="L738" s="209"/>
      <c r="N738" s="2"/>
      <c r="O738" s="2"/>
      <c r="P738" s="2"/>
      <c r="Q738" s="2"/>
      <c r="R738" s="2"/>
      <c r="S738" s="2"/>
      <c r="T738" s="10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IU738" s="2"/>
      <c r="IV738" s="2"/>
      <c r="IW738" s="2"/>
      <c r="IX738" s="2"/>
      <c r="IY738" s="2"/>
      <c r="IZ738" s="2"/>
      <c r="JA738" s="2"/>
      <c r="JB738" s="2"/>
      <c r="J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I739" s="5"/>
      <c r="J739" s="211"/>
      <c r="K739" s="5"/>
      <c r="L739" s="5"/>
      <c r="N739" s="2"/>
      <c r="O739" s="2"/>
      <c r="P739" s="2"/>
      <c r="Q739" s="2"/>
      <c r="R739" s="2"/>
      <c r="S739" s="2"/>
      <c r="T739" s="10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IU739" s="2"/>
      <c r="IV739" s="2"/>
      <c r="IW739" s="2"/>
      <c r="IX739" s="2"/>
      <c r="IY739" s="2"/>
      <c r="IZ739" s="2"/>
      <c r="JA739" s="2"/>
      <c r="JB739" s="2"/>
      <c r="J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I740" s="209"/>
      <c r="J740" s="210"/>
      <c r="K740" s="209"/>
      <c r="L740" s="209"/>
      <c r="N740" s="2"/>
      <c r="O740" s="2"/>
      <c r="P740" s="2"/>
      <c r="Q740" s="2"/>
      <c r="R740" s="2"/>
      <c r="S740" s="2"/>
      <c r="T740" s="10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IU740" s="2"/>
      <c r="IV740" s="2"/>
      <c r="IW740" s="2"/>
      <c r="IX740" s="2"/>
      <c r="IY740" s="2"/>
      <c r="IZ740" s="2"/>
      <c r="JA740" s="2"/>
      <c r="JB740" s="2"/>
      <c r="J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I741" s="5"/>
      <c r="J741" s="211"/>
      <c r="K741" s="5"/>
      <c r="L741" s="5"/>
      <c r="N741" s="2"/>
      <c r="O741" s="2"/>
      <c r="P741" s="2"/>
      <c r="Q741" s="2"/>
      <c r="R741" s="2"/>
      <c r="S741" s="2"/>
      <c r="T741" s="10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IU741" s="2"/>
      <c r="IV741" s="2"/>
      <c r="IW741" s="2"/>
      <c r="IX741" s="2"/>
      <c r="IY741" s="2"/>
      <c r="IZ741" s="2"/>
      <c r="JA741" s="2"/>
      <c r="JB741" s="2"/>
      <c r="J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I742" s="209"/>
      <c r="J742" s="210"/>
      <c r="K742" s="209"/>
      <c r="L742" s="209"/>
      <c r="N742" s="2"/>
      <c r="O742" s="2"/>
      <c r="P742" s="2"/>
      <c r="Q742" s="2"/>
      <c r="R742" s="2"/>
      <c r="S742" s="2"/>
      <c r="T742" s="10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IU742" s="2"/>
      <c r="IV742" s="2"/>
      <c r="IW742" s="2"/>
      <c r="IX742" s="2"/>
      <c r="IY742" s="2"/>
      <c r="IZ742" s="2"/>
      <c r="JA742" s="2"/>
      <c r="JB742" s="2"/>
      <c r="J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I743" s="5"/>
      <c r="J743" s="211"/>
      <c r="K743" s="5"/>
      <c r="L743" s="5"/>
      <c r="N743" s="2"/>
      <c r="O743" s="2"/>
      <c r="P743" s="2"/>
      <c r="Q743" s="2"/>
      <c r="R743" s="2"/>
      <c r="S743" s="2"/>
      <c r="T743" s="10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IU743" s="2"/>
      <c r="IV743" s="2"/>
      <c r="IW743" s="2"/>
      <c r="IX743" s="2"/>
      <c r="IY743" s="2"/>
      <c r="IZ743" s="2"/>
      <c r="JA743" s="2"/>
      <c r="JB743" s="2"/>
      <c r="J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I744" s="209"/>
      <c r="J744" s="210"/>
      <c r="K744" s="209"/>
      <c r="L744" s="209"/>
      <c r="N744" s="2"/>
      <c r="O744" s="2"/>
      <c r="P744" s="2"/>
      <c r="Q744" s="2"/>
      <c r="R744" s="2"/>
      <c r="S744" s="2"/>
      <c r="T744" s="10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IU744" s="2"/>
      <c r="IV744" s="2"/>
      <c r="IW744" s="2"/>
      <c r="IX744" s="2"/>
      <c r="IY744" s="2"/>
      <c r="IZ744" s="2"/>
      <c r="JA744" s="2"/>
      <c r="JB744" s="2"/>
      <c r="J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I745" s="5"/>
      <c r="J745" s="211"/>
      <c r="K745" s="5"/>
      <c r="L745" s="5"/>
      <c r="N745" s="2"/>
      <c r="O745" s="2"/>
      <c r="P745" s="2"/>
      <c r="Q745" s="2"/>
      <c r="R745" s="2"/>
      <c r="S745" s="2"/>
      <c r="T745" s="10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IU745" s="2"/>
      <c r="IV745" s="2"/>
      <c r="IW745" s="2"/>
      <c r="IX745" s="2"/>
      <c r="IY745" s="2"/>
      <c r="IZ745" s="2"/>
      <c r="JA745" s="2"/>
      <c r="JB745" s="2"/>
      <c r="J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I746" s="209"/>
      <c r="J746" s="210"/>
      <c r="K746" s="209"/>
      <c r="L746" s="209"/>
      <c r="N746" s="2"/>
      <c r="O746" s="2"/>
      <c r="P746" s="2"/>
      <c r="Q746" s="2"/>
      <c r="R746" s="2"/>
      <c r="S746" s="2"/>
      <c r="T746" s="10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IU746" s="2"/>
      <c r="IV746" s="2"/>
      <c r="IW746" s="2"/>
      <c r="IX746" s="2"/>
      <c r="IY746" s="2"/>
      <c r="IZ746" s="2"/>
      <c r="JA746" s="2"/>
      <c r="JB746" s="2"/>
      <c r="J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I747" s="5"/>
      <c r="J747" s="211"/>
      <c r="K747" s="5"/>
      <c r="L747" s="5"/>
      <c r="N747" s="2"/>
      <c r="O747" s="2"/>
      <c r="P747" s="2"/>
      <c r="Q747" s="2"/>
      <c r="R747" s="2"/>
      <c r="S747" s="2"/>
      <c r="T747" s="10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IU747" s="2"/>
      <c r="IV747" s="2"/>
      <c r="IW747" s="2"/>
      <c r="IX747" s="2"/>
      <c r="IY747" s="2"/>
      <c r="IZ747" s="2"/>
      <c r="JA747" s="2"/>
      <c r="JB747" s="2"/>
      <c r="J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I748" s="209"/>
      <c r="J748" s="210"/>
      <c r="K748" s="209"/>
      <c r="L748" s="209"/>
      <c r="N748" s="2"/>
      <c r="O748" s="2"/>
      <c r="P748" s="2"/>
      <c r="Q748" s="2"/>
      <c r="R748" s="2"/>
      <c r="S748" s="2"/>
      <c r="T748" s="10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IU748" s="2"/>
      <c r="IV748" s="2"/>
      <c r="IW748" s="2"/>
      <c r="IX748" s="2"/>
      <c r="IY748" s="2"/>
      <c r="IZ748" s="2"/>
      <c r="JA748" s="2"/>
      <c r="JB748" s="2"/>
      <c r="J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I749" s="5"/>
      <c r="J749" s="211"/>
      <c r="K749" s="5"/>
      <c r="L749" s="5"/>
      <c r="N749" s="2"/>
      <c r="O749" s="2"/>
      <c r="P749" s="2"/>
      <c r="Q749" s="2"/>
      <c r="R749" s="2"/>
      <c r="S749" s="2"/>
      <c r="T749" s="10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IU749" s="2"/>
      <c r="IV749" s="2"/>
      <c r="IW749" s="2"/>
      <c r="IX749" s="2"/>
      <c r="IY749" s="2"/>
      <c r="IZ749" s="2"/>
      <c r="JA749" s="2"/>
      <c r="JB749" s="2"/>
      <c r="J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I750" s="209"/>
      <c r="J750" s="210"/>
      <c r="K750" s="209"/>
      <c r="L750" s="209"/>
      <c r="N750" s="2"/>
      <c r="O750" s="2"/>
      <c r="P750" s="2"/>
      <c r="Q750" s="2"/>
      <c r="R750" s="2"/>
      <c r="S750" s="2"/>
      <c r="T750" s="10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IU750" s="2"/>
      <c r="IV750" s="2"/>
      <c r="IW750" s="2"/>
      <c r="IX750" s="2"/>
      <c r="IY750" s="2"/>
      <c r="IZ750" s="2"/>
      <c r="JA750" s="2"/>
      <c r="JB750" s="2"/>
      <c r="J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I751" s="5"/>
      <c r="J751" s="211"/>
      <c r="K751" s="5"/>
      <c r="L751" s="5"/>
      <c r="N751" s="2"/>
      <c r="O751" s="2"/>
      <c r="P751" s="2"/>
      <c r="Q751" s="2"/>
      <c r="R751" s="2"/>
      <c r="S751" s="2"/>
      <c r="T751" s="10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IU751" s="2"/>
      <c r="IV751" s="2"/>
      <c r="IW751" s="2"/>
      <c r="IX751" s="2"/>
      <c r="IY751" s="2"/>
      <c r="IZ751" s="2"/>
      <c r="JA751" s="2"/>
      <c r="JB751" s="2"/>
      <c r="J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I752" s="209"/>
      <c r="J752" s="210"/>
      <c r="K752" s="209"/>
      <c r="L752" s="209"/>
      <c r="N752" s="2"/>
      <c r="O752" s="2"/>
      <c r="P752" s="2"/>
      <c r="Q752" s="2"/>
      <c r="R752" s="2"/>
      <c r="S752" s="2"/>
      <c r="T752" s="10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IU752" s="2"/>
      <c r="IV752" s="2"/>
      <c r="IW752" s="2"/>
      <c r="IX752" s="2"/>
      <c r="IY752" s="2"/>
      <c r="IZ752" s="2"/>
      <c r="JA752" s="2"/>
      <c r="JB752" s="2"/>
      <c r="J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I753" s="5"/>
      <c r="J753" s="211"/>
      <c r="K753" s="5"/>
      <c r="L753" s="5"/>
      <c r="N753" s="2"/>
      <c r="O753" s="2"/>
      <c r="P753" s="2"/>
      <c r="Q753" s="2"/>
      <c r="R753" s="2"/>
      <c r="S753" s="2"/>
      <c r="T753" s="10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IU753" s="2"/>
      <c r="IV753" s="2"/>
      <c r="IW753" s="2"/>
      <c r="IX753" s="2"/>
      <c r="IY753" s="2"/>
      <c r="IZ753" s="2"/>
      <c r="JA753" s="2"/>
      <c r="JB753" s="2"/>
      <c r="J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I754" s="209"/>
      <c r="J754" s="210"/>
      <c r="K754" s="209"/>
      <c r="L754" s="209"/>
      <c r="N754" s="2"/>
      <c r="O754" s="2"/>
      <c r="P754" s="2"/>
      <c r="Q754" s="2"/>
      <c r="R754" s="2"/>
      <c r="S754" s="2"/>
      <c r="T754" s="10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IU754" s="2"/>
      <c r="IV754" s="2"/>
      <c r="IW754" s="2"/>
      <c r="IX754" s="2"/>
      <c r="IY754" s="2"/>
      <c r="IZ754" s="2"/>
      <c r="JA754" s="2"/>
      <c r="JB754" s="2"/>
      <c r="J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I755" s="5"/>
      <c r="J755" s="211"/>
      <c r="K755" s="5"/>
      <c r="L755" s="5"/>
      <c r="N755" s="2"/>
      <c r="O755" s="2"/>
      <c r="P755" s="2"/>
      <c r="Q755" s="2"/>
      <c r="R755" s="2"/>
      <c r="S755" s="2"/>
      <c r="T755" s="10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IU755" s="2"/>
      <c r="IV755" s="2"/>
      <c r="IW755" s="2"/>
      <c r="IX755" s="2"/>
      <c r="IY755" s="2"/>
      <c r="IZ755" s="2"/>
      <c r="JA755" s="2"/>
      <c r="JB755" s="2"/>
      <c r="J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I756" s="209"/>
      <c r="J756" s="210"/>
      <c r="K756" s="209"/>
      <c r="L756" s="209"/>
      <c r="N756" s="2"/>
      <c r="O756" s="2"/>
      <c r="P756" s="2"/>
      <c r="Q756" s="2"/>
      <c r="R756" s="2"/>
      <c r="S756" s="2"/>
      <c r="T756" s="10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IU756" s="2"/>
      <c r="IV756" s="2"/>
      <c r="IW756" s="2"/>
      <c r="IX756" s="2"/>
      <c r="IY756" s="2"/>
      <c r="IZ756" s="2"/>
      <c r="JA756" s="2"/>
      <c r="JB756" s="2"/>
      <c r="J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I757" s="5"/>
      <c r="J757" s="211"/>
      <c r="K757" s="5"/>
      <c r="L757" s="5"/>
      <c r="N757" s="2"/>
      <c r="O757" s="2"/>
      <c r="P757" s="2"/>
      <c r="Q757" s="2"/>
      <c r="R757" s="2"/>
      <c r="S757" s="2"/>
      <c r="T757" s="10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IU757" s="2"/>
      <c r="IV757" s="2"/>
      <c r="IW757" s="2"/>
      <c r="IX757" s="2"/>
      <c r="IY757" s="2"/>
      <c r="IZ757" s="2"/>
      <c r="JA757" s="2"/>
      <c r="JB757" s="2"/>
      <c r="J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I758" s="209"/>
      <c r="J758" s="210"/>
      <c r="K758" s="209"/>
      <c r="L758" s="209"/>
      <c r="N758" s="2"/>
      <c r="O758" s="2"/>
      <c r="P758" s="2"/>
      <c r="Q758" s="2"/>
      <c r="R758" s="2"/>
      <c r="S758" s="2"/>
      <c r="T758" s="10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IU758" s="2"/>
      <c r="IV758" s="2"/>
      <c r="IW758" s="2"/>
      <c r="IX758" s="2"/>
      <c r="IY758" s="2"/>
      <c r="IZ758" s="2"/>
      <c r="JA758" s="2"/>
      <c r="JB758" s="2"/>
      <c r="J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I759" s="5"/>
      <c r="J759" s="211"/>
      <c r="K759" s="5"/>
      <c r="L759" s="5"/>
      <c r="N759" s="2"/>
      <c r="O759" s="2"/>
      <c r="P759" s="2"/>
      <c r="Q759" s="2"/>
      <c r="R759" s="2"/>
      <c r="S759" s="2"/>
      <c r="T759" s="10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IU759" s="2"/>
      <c r="IV759" s="2"/>
      <c r="IW759" s="2"/>
      <c r="IX759" s="2"/>
      <c r="IY759" s="2"/>
      <c r="IZ759" s="2"/>
      <c r="JA759" s="2"/>
      <c r="JB759" s="2"/>
      <c r="J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I760" s="209"/>
      <c r="J760" s="210"/>
      <c r="K760" s="209"/>
      <c r="L760" s="209"/>
      <c r="N760" s="2"/>
      <c r="O760" s="2"/>
      <c r="P760" s="2"/>
      <c r="Q760" s="2"/>
      <c r="R760" s="2"/>
      <c r="S760" s="2"/>
      <c r="T760" s="10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IU760" s="2"/>
      <c r="IV760" s="2"/>
      <c r="IW760" s="2"/>
      <c r="IX760" s="2"/>
      <c r="IY760" s="2"/>
      <c r="IZ760" s="2"/>
      <c r="JA760" s="2"/>
      <c r="JB760" s="2"/>
      <c r="J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I761" s="5"/>
      <c r="J761" s="211"/>
      <c r="K761" s="5"/>
      <c r="L761" s="5"/>
      <c r="N761" s="2"/>
      <c r="O761" s="2"/>
      <c r="P761" s="2"/>
      <c r="Q761" s="2"/>
      <c r="R761" s="2"/>
      <c r="S761" s="2"/>
      <c r="T761" s="10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IU761" s="2"/>
      <c r="IV761" s="2"/>
      <c r="IW761" s="2"/>
      <c r="IX761" s="2"/>
      <c r="IY761" s="2"/>
      <c r="IZ761" s="2"/>
      <c r="JA761" s="2"/>
      <c r="JB761" s="2"/>
      <c r="J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I762" s="209"/>
      <c r="J762" s="210"/>
      <c r="K762" s="209"/>
      <c r="L762" s="209"/>
      <c r="N762" s="2"/>
      <c r="O762" s="2"/>
      <c r="P762" s="2"/>
      <c r="Q762" s="2"/>
      <c r="R762" s="2"/>
      <c r="S762" s="2"/>
      <c r="T762" s="10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IU762" s="2"/>
      <c r="IV762" s="2"/>
      <c r="IW762" s="2"/>
      <c r="IX762" s="2"/>
      <c r="IY762" s="2"/>
      <c r="IZ762" s="2"/>
      <c r="JA762" s="2"/>
      <c r="JB762" s="2"/>
      <c r="J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I763" s="5"/>
      <c r="J763" s="211"/>
      <c r="K763" s="5"/>
      <c r="L763" s="5"/>
      <c r="N763" s="2"/>
      <c r="O763" s="2"/>
      <c r="P763" s="2"/>
      <c r="Q763" s="2"/>
      <c r="R763" s="2"/>
      <c r="S763" s="2"/>
      <c r="T763" s="10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IU763" s="2"/>
      <c r="IV763" s="2"/>
      <c r="IW763" s="2"/>
      <c r="IX763" s="2"/>
      <c r="IY763" s="2"/>
      <c r="IZ763" s="2"/>
      <c r="JA763" s="2"/>
      <c r="JB763" s="2"/>
      <c r="J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I764" s="209"/>
      <c r="J764" s="210"/>
      <c r="K764" s="209"/>
      <c r="L764" s="209"/>
      <c r="N764" s="2"/>
      <c r="O764" s="2"/>
      <c r="P764" s="2"/>
      <c r="Q764" s="2"/>
      <c r="R764" s="2"/>
      <c r="S764" s="2"/>
      <c r="T764" s="10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IU764" s="2"/>
      <c r="IV764" s="2"/>
      <c r="IW764" s="2"/>
      <c r="IX764" s="2"/>
      <c r="IY764" s="2"/>
      <c r="IZ764" s="2"/>
      <c r="JA764" s="2"/>
      <c r="JB764" s="2"/>
      <c r="J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I765" s="5"/>
      <c r="J765" s="211"/>
      <c r="K765" s="5"/>
      <c r="L765" s="5"/>
      <c r="N765" s="2"/>
      <c r="O765" s="2"/>
      <c r="P765" s="2"/>
      <c r="Q765" s="2"/>
      <c r="R765" s="2"/>
      <c r="S765" s="2"/>
      <c r="T765" s="10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IU765" s="2"/>
      <c r="IV765" s="2"/>
      <c r="IW765" s="2"/>
      <c r="IX765" s="2"/>
      <c r="IY765" s="2"/>
      <c r="IZ765" s="2"/>
      <c r="JA765" s="2"/>
      <c r="JB765" s="2"/>
      <c r="J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I766" s="209"/>
      <c r="J766" s="210"/>
      <c r="K766" s="209"/>
      <c r="L766" s="209"/>
      <c r="N766" s="2"/>
      <c r="O766" s="2"/>
      <c r="P766" s="2"/>
      <c r="Q766" s="2"/>
      <c r="R766" s="2"/>
      <c r="S766" s="2"/>
      <c r="T766" s="10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IU766" s="2"/>
      <c r="IV766" s="2"/>
      <c r="IW766" s="2"/>
      <c r="IX766" s="2"/>
      <c r="IY766" s="2"/>
      <c r="IZ766" s="2"/>
      <c r="JA766" s="2"/>
      <c r="JB766" s="2"/>
      <c r="J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I767" s="5"/>
      <c r="J767" s="211"/>
      <c r="K767" s="5"/>
      <c r="L767" s="5"/>
      <c r="N767" s="2"/>
      <c r="O767" s="2"/>
      <c r="P767" s="2"/>
      <c r="Q767" s="2"/>
      <c r="R767" s="2"/>
      <c r="S767" s="2"/>
      <c r="T767" s="10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IU767" s="2"/>
      <c r="IV767" s="2"/>
      <c r="IW767" s="2"/>
      <c r="IX767" s="2"/>
      <c r="IY767" s="2"/>
      <c r="IZ767" s="2"/>
      <c r="JA767" s="2"/>
      <c r="JB767" s="2"/>
      <c r="J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I768" s="209"/>
      <c r="J768" s="210"/>
      <c r="K768" s="209"/>
      <c r="L768" s="209"/>
      <c r="N768" s="2"/>
      <c r="O768" s="2"/>
      <c r="P768" s="2"/>
      <c r="Q768" s="2"/>
      <c r="R768" s="2"/>
      <c r="S768" s="2"/>
      <c r="T768" s="10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IU768" s="2"/>
      <c r="IV768" s="2"/>
      <c r="IW768" s="2"/>
      <c r="IX768" s="2"/>
      <c r="IY768" s="2"/>
      <c r="IZ768" s="2"/>
      <c r="JA768" s="2"/>
      <c r="JB768" s="2"/>
      <c r="J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I769" s="5"/>
      <c r="J769" s="211"/>
      <c r="K769" s="5"/>
      <c r="L769" s="5"/>
      <c r="N769" s="2"/>
      <c r="O769" s="2"/>
      <c r="P769" s="2"/>
      <c r="Q769" s="2"/>
      <c r="R769" s="2"/>
      <c r="S769" s="2"/>
      <c r="T769" s="10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IU769" s="2"/>
      <c r="IV769" s="2"/>
      <c r="IW769" s="2"/>
      <c r="IX769" s="2"/>
      <c r="IY769" s="2"/>
      <c r="IZ769" s="2"/>
      <c r="JA769" s="2"/>
      <c r="JB769" s="2"/>
      <c r="J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I770" s="209"/>
      <c r="J770" s="210"/>
      <c r="K770" s="209"/>
      <c r="L770" s="209"/>
      <c r="N770" s="2"/>
      <c r="O770" s="2"/>
      <c r="P770" s="2"/>
      <c r="Q770" s="2"/>
      <c r="R770" s="2"/>
      <c r="S770" s="2"/>
      <c r="T770" s="10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IU770" s="2"/>
      <c r="IV770" s="2"/>
      <c r="IW770" s="2"/>
      <c r="IX770" s="2"/>
      <c r="IY770" s="2"/>
      <c r="IZ770" s="2"/>
      <c r="JA770" s="2"/>
      <c r="JB770" s="2"/>
      <c r="J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I771" s="5"/>
      <c r="J771" s="211"/>
      <c r="K771" s="5"/>
      <c r="L771" s="5"/>
      <c r="N771" s="2"/>
      <c r="O771" s="2"/>
      <c r="P771" s="2"/>
      <c r="Q771" s="2"/>
      <c r="R771" s="2"/>
      <c r="S771" s="2"/>
      <c r="T771" s="10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IU771" s="2"/>
      <c r="IV771" s="2"/>
      <c r="IW771" s="2"/>
      <c r="IX771" s="2"/>
      <c r="IY771" s="2"/>
      <c r="IZ771" s="2"/>
      <c r="JA771" s="2"/>
      <c r="JB771" s="2"/>
      <c r="J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I772" s="209"/>
      <c r="J772" s="210"/>
      <c r="K772" s="209"/>
      <c r="L772" s="209"/>
      <c r="N772" s="2"/>
      <c r="O772" s="2"/>
      <c r="P772" s="2"/>
      <c r="Q772" s="2"/>
      <c r="R772" s="2"/>
      <c r="S772" s="2"/>
      <c r="T772" s="10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IU772" s="2"/>
      <c r="IV772" s="2"/>
      <c r="IW772" s="2"/>
      <c r="IX772" s="2"/>
      <c r="IY772" s="2"/>
      <c r="IZ772" s="2"/>
      <c r="JA772" s="2"/>
      <c r="JB772" s="2"/>
      <c r="J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I773" s="5"/>
      <c r="J773" s="211"/>
      <c r="K773" s="5"/>
      <c r="L773" s="5"/>
      <c r="N773" s="2"/>
      <c r="O773" s="2"/>
      <c r="P773" s="2"/>
      <c r="Q773" s="2"/>
      <c r="R773" s="2"/>
      <c r="S773" s="2"/>
      <c r="T773" s="10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IU773" s="2"/>
      <c r="IV773" s="2"/>
      <c r="IW773" s="2"/>
      <c r="IX773" s="2"/>
      <c r="IY773" s="2"/>
      <c r="IZ773" s="2"/>
      <c r="JA773" s="2"/>
      <c r="JB773" s="2"/>
      <c r="J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I774" s="209"/>
      <c r="J774" s="210"/>
      <c r="K774" s="209"/>
      <c r="L774" s="209"/>
      <c r="N774" s="2"/>
      <c r="O774" s="2"/>
      <c r="P774" s="2"/>
      <c r="Q774" s="2"/>
      <c r="R774" s="2"/>
      <c r="S774" s="2"/>
      <c r="T774" s="10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IU774" s="2"/>
      <c r="IV774" s="2"/>
      <c r="IW774" s="2"/>
      <c r="IX774" s="2"/>
      <c r="IY774" s="2"/>
      <c r="IZ774" s="2"/>
      <c r="JA774" s="2"/>
      <c r="JB774" s="2"/>
      <c r="J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I775" s="5"/>
      <c r="J775" s="211"/>
      <c r="K775" s="5"/>
      <c r="L775" s="5"/>
      <c r="N775" s="2"/>
      <c r="O775" s="2"/>
      <c r="P775" s="2"/>
      <c r="Q775" s="2"/>
      <c r="R775" s="2"/>
      <c r="S775" s="2"/>
      <c r="T775" s="10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IU775" s="2"/>
      <c r="IV775" s="2"/>
      <c r="IW775" s="2"/>
      <c r="IX775" s="2"/>
      <c r="IY775" s="2"/>
      <c r="IZ775" s="2"/>
      <c r="JA775" s="2"/>
      <c r="JB775" s="2"/>
      <c r="J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I776" s="209"/>
      <c r="J776" s="210"/>
      <c r="K776" s="209"/>
      <c r="L776" s="209"/>
      <c r="N776" s="2"/>
      <c r="O776" s="2"/>
      <c r="P776" s="2"/>
      <c r="Q776" s="2"/>
      <c r="R776" s="2"/>
      <c r="S776" s="2"/>
      <c r="T776" s="10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IU776" s="2"/>
      <c r="IV776" s="2"/>
      <c r="IW776" s="2"/>
      <c r="IX776" s="2"/>
      <c r="IY776" s="2"/>
      <c r="IZ776" s="2"/>
      <c r="JA776" s="2"/>
      <c r="JB776" s="2"/>
      <c r="J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I777" s="5"/>
      <c r="J777" s="211"/>
      <c r="K777" s="5"/>
      <c r="L777" s="5"/>
      <c r="N777" s="2"/>
      <c r="O777" s="2"/>
      <c r="P777" s="2"/>
      <c r="Q777" s="2"/>
      <c r="R777" s="2"/>
      <c r="S777" s="2"/>
      <c r="T777" s="10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IU777" s="2"/>
      <c r="IV777" s="2"/>
      <c r="IW777" s="2"/>
      <c r="IX777" s="2"/>
      <c r="IY777" s="2"/>
      <c r="IZ777" s="2"/>
      <c r="JA777" s="2"/>
      <c r="JB777" s="2"/>
      <c r="J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I778" s="209"/>
      <c r="J778" s="210"/>
      <c r="K778" s="209"/>
      <c r="L778" s="209"/>
      <c r="N778" s="2"/>
      <c r="O778" s="2"/>
      <c r="P778" s="2"/>
      <c r="Q778" s="2"/>
      <c r="R778" s="2"/>
      <c r="S778" s="2"/>
      <c r="T778" s="10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IU778" s="2"/>
      <c r="IV778" s="2"/>
      <c r="IW778" s="2"/>
      <c r="IX778" s="2"/>
      <c r="IY778" s="2"/>
      <c r="IZ778" s="2"/>
      <c r="JA778" s="2"/>
      <c r="JB778" s="2"/>
      <c r="J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I779" s="5"/>
      <c r="J779" s="211"/>
      <c r="K779" s="5"/>
      <c r="L779" s="5"/>
      <c r="N779" s="2"/>
      <c r="O779" s="2"/>
      <c r="P779" s="2"/>
      <c r="Q779" s="2"/>
      <c r="R779" s="2"/>
      <c r="S779" s="2"/>
      <c r="T779" s="10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IU779" s="2"/>
      <c r="IV779" s="2"/>
      <c r="IW779" s="2"/>
      <c r="IX779" s="2"/>
      <c r="IY779" s="2"/>
      <c r="IZ779" s="2"/>
      <c r="JA779" s="2"/>
      <c r="JB779" s="2"/>
      <c r="J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I780" s="209"/>
      <c r="J780" s="210"/>
      <c r="K780" s="209"/>
      <c r="L780" s="209"/>
      <c r="N780" s="2"/>
      <c r="O780" s="2"/>
      <c r="P780" s="2"/>
      <c r="Q780" s="2"/>
      <c r="R780" s="2"/>
      <c r="S780" s="2"/>
      <c r="T780" s="10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IU780" s="2"/>
      <c r="IV780" s="2"/>
      <c r="IW780" s="2"/>
      <c r="IX780" s="2"/>
      <c r="IY780" s="2"/>
      <c r="IZ780" s="2"/>
      <c r="JA780" s="2"/>
      <c r="JB780" s="2"/>
      <c r="J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I781" s="5"/>
      <c r="J781" s="211"/>
      <c r="K781" s="5"/>
      <c r="L781" s="5"/>
      <c r="N781" s="2"/>
      <c r="O781" s="2"/>
      <c r="P781" s="2"/>
      <c r="Q781" s="2"/>
      <c r="R781" s="2"/>
      <c r="S781" s="2"/>
      <c r="T781" s="10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IU781" s="2"/>
      <c r="IV781" s="2"/>
      <c r="IW781" s="2"/>
      <c r="IX781" s="2"/>
      <c r="IY781" s="2"/>
      <c r="IZ781" s="2"/>
      <c r="JA781" s="2"/>
      <c r="JB781" s="2"/>
      <c r="J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I782" s="209"/>
      <c r="J782" s="210"/>
      <c r="K782" s="209"/>
      <c r="L782" s="209"/>
      <c r="N782" s="2"/>
      <c r="O782" s="2"/>
      <c r="P782" s="2"/>
      <c r="Q782" s="2"/>
      <c r="R782" s="2"/>
      <c r="S782" s="2"/>
      <c r="T782" s="10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IU782" s="2"/>
      <c r="IV782" s="2"/>
      <c r="IW782" s="2"/>
      <c r="IX782" s="2"/>
      <c r="IY782" s="2"/>
      <c r="IZ782" s="2"/>
      <c r="JA782" s="2"/>
      <c r="JB782" s="2"/>
      <c r="J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I783" s="5"/>
      <c r="J783" s="211"/>
      <c r="K783" s="5"/>
      <c r="L783" s="5"/>
      <c r="N783" s="2"/>
      <c r="O783" s="2"/>
      <c r="P783" s="2"/>
      <c r="Q783" s="2"/>
      <c r="R783" s="2"/>
      <c r="S783" s="2"/>
      <c r="T783" s="10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IU783" s="2"/>
      <c r="IV783" s="2"/>
      <c r="IW783" s="2"/>
      <c r="IX783" s="2"/>
      <c r="IY783" s="2"/>
      <c r="IZ783" s="2"/>
      <c r="JA783" s="2"/>
      <c r="JB783" s="2"/>
      <c r="J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I784" s="209"/>
      <c r="J784" s="210"/>
      <c r="K784" s="209"/>
      <c r="L784" s="209"/>
      <c r="N784" s="2"/>
      <c r="O784" s="2"/>
      <c r="P784" s="2"/>
      <c r="Q784" s="2"/>
      <c r="R784" s="2"/>
      <c r="S784" s="2"/>
      <c r="T784" s="10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IU784" s="2"/>
      <c r="IV784" s="2"/>
      <c r="IW784" s="2"/>
      <c r="IX784" s="2"/>
      <c r="IY784" s="2"/>
      <c r="IZ784" s="2"/>
      <c r="JA784" s="2"/>
      <c r="JB784" s="2"/>
      <c r="J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I785" s="5"/>
      <c r="J785" s="211"/>
      <c r="K785" s="5"/>
      <c r="L785" s="5"/>
      <c r="N785" s="2"/>
      <c r="O785" s="2"/>
      <c r="P785" s="2"/>
      <c r="Q785" s="2"/>
      <c r="R785" s="2"/>
      <c r="S785" s="2"/>
      <c r="T785" s="10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IU785" s="2"/>
      <c r="IV785" s="2"/>
      <c r="IW785" s="2"/>
      <c r="IX785" s="2"/>
      <c r="IY785" s="2"/>
      <c r="IZ785" s="2"/>
      <c r="JA785" s="2"/>
      <c r="JB785" s="2"/>
      <c r="J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I786" s="209"/>
      <c r="J786" s="210"/>
      <c r="K786" s="209"/>
      <c r="L786" s="209"/>
      <c r="N786" s="2"/>
      <c r="O786" s="2"/>
      <c r="P786" s="2"/>
      <c r="Q786" s="2"/>
      <c r="R786" s="2"/>
      <c r="S786" s="2"/>
      <c r="T786" s="10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IU786" s="2"/>
      <c r="IV786" s="2"/>
      <c r="IW786" s="2"/>
      <c r="IX786" s="2"/>
      <c r="IY786" s="2"/>
      <c r="IZ786" s="2"/>
      <c r="JA786" s="2"/>
      <c r="JB786" s="2"/>
      <c r="J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I787" s="5"/>
      <c r="J787" s="211"/>
      <c r="K787" s="5"/>
      <c r="L787" s="5"/>
      <c r="N787" s="2"/>
      <c r="O787" s="2"/>
      <c r="P787" s="2"/>
      <c r="Q787" s="2"/>
      <c r="R787" s="2"/>
      <c r="S787" s="2"/>
      <c r="T787" s="10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IU787" s="2"/>
      <c r="IV787" s="2"/>
      <c r="IW787" s="2"/>
      <c r="IX787" s="2"/>
      <c r="IY787" s="2"/>
      <c r="IZ787" s="2"/>
      <c r="JA787" s="2"/>
      <c r="JB787" s="2"/>
      <c r="J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I788" s="209"/>
      <c r="J788" s="210"/>
      <c r="K788" s="209"/>
      <c r="L788" s="209"/>
      <c r="N788" s="2"/>
      <c r="O788" s="2"/>
      <c r="P788" s="2"/>
      <c r="Q788" s="2"/>
      <c r="R788" s="2"/>
      <c r="S788" s="2"/>
      <c r="T788" s="10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IU788" s="2"/>
      <c r="IV788" s="2"/>
      <c r="IW788" s="2"/>
      <c r="IX788" s="2"/>
      <c r="IY788" s="2"/>
      <c r="IZ788" s="2"/>
      <c r="JA788" s="2"/>
      <c r="JB788" s="2"/>
      <c r="J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I789" s="5"/>
      <c r="J789" s="211"/>
      <c r="K789" s="5"/>
      <c r="L789" s="5"/>
      <c r="N789" s="2"/>
      <c r="O789" s="2"/>
      <c r="P789" s="2"/>
      <c r="Q789" s="2"/>
      <c r="R789" s="2"/>
      <c r="S789" s="2"/>
      <c r="T789" s="10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IU789" s="2"/>
      <c r="IV789" s="2"/>
      <c r="IW789" s="2"/>
      <c r="IX789" s="2"/>
      <c r="IY789" s="2"/>
      <c r="IZ789" s="2"/>
      <c r="JA789" s="2"/>
      <c r="JB789" s="2"/>
      <c r="J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I790" s="209"/>
      <c r="J790" s="210"/>
      <c r="K790" s="209"/>
      <c r="L790" s="209"/>
      <c r="N790" s="2"/>
      <c r="O790" s="2"/>
      <c r="P790" s="2"/>
      <c r="Q790" s="2"/>
      <c r="R790" s="2"/>
      <c r="S790" s="2"/>
      <c r="T790" s="10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IU790" s="2"/>
      <c r="IV790" s="2"/>
      <c r="IW790" s="2"/>
      <c r="IX790" s="2"/>
      <c r="IY790" s="2"/>
      <c r="IZ790" s="2"/>
      <c r="JA790" s="2"/>
      <c r="JB790" s="2"/>
      <c r="J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I791" s="5"/>
      <c r="J791" s="211"/>
      <c r="K791" s="5"/>
      <c r="L791" s="5"/>
      <c r="N791" s="2"/>
      <c r="O791" s="2"/>
      <c r="P791" s="2"/>
      <c r="Q791" s="2"/>
      <c r="R791" s="2"/>
      <c r="S791" s="2"/>
      <c r="T791" s="10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IU791" s="2"/>
      <c r="IV791" s="2"/>
      <c r="IW791" s="2"/>
      <c r="IX791" s="2"/>
      <c r="IY791" s="2"/>
      <c r="IZ791" s="2"/>
      <c r="JA791" s="2"/>
      <c r="JB791" s="2"/>
      <c r="J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I792" s="209"/>
      <c r="J792" s="210"/>
      <c r="K792" s="209"/>
      <c r="L792" s="209"/>
      <c r="N792" s="2"/>
      <c r="O792" s="2"/>
      <c r="P792" s="2"/>
      <c r="Q792" s="2"/>
      <c r="R792" s="2"/>
      <c r="S792" s="2"/>
      <c r="T792" s="10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IU792" s="2"/>
      <c r="IV792" s="2"/>
      <c r="IW792" s="2"/>
      <c r="IX792" s="2"/>
      <c r="IY792" s="2"/>
      <c r="IZ792" s="2"/>
      <c r="JA792" s="2"/>
      <c r="JB792" s="2"/>
      <c r="J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I793" s="5"/>
      <c r="J793" s="211"/>
      <c r="K793" s="5"/>
      <c r="L793" s="5"/>
      <c r="N793" s="2"/>
      <c r="O793" s="2"/>
      <c r="P793" s="2"/>
      <c r="Q793" s="2"/>
      <c r="R793" s="2"/>
      <c r="S793" s="2"/>
      <c r="T793" s="10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IU793" s="2"/>
      <c r="IV793" s="2"/>
      <c r="IW793" s="2"/>
      <c r="IX793" s="2"/>
      <c r="IY793" s="2"/>
      <c r="IZ793" s="2"/>
      <c r="JA793" s="2"/>
      <c r="JB793" s="2"/>
      <c r="J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I794" s="209"/>
      <c r="J794" s="210"/>
      <c r="K794" s="209"/>
      <c r="L794" s="209"/>
      <c r="N794" s="2"/>
      <c r="O794" s="2"/>
      <c r="P794" s="2"/>
      <c r="Q794" s="2"/>
      <c r="R794" s="2"/>
      <c r="S794" s="2"/>
      <c r="T794" s="10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IU794" s="2"/>
      <c r="IV794" s="2"/>
      <c r="IW794" s="2"/>
      <c r="IX794" s="2"/>
      <c r="IY794" s="2"/>
      <c r="IZ794" s="2"/>
      <c r="JA794" s="2"/>
      <c r="JB794" s="2"/>
      <c r="J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I795" s="5"/>
      <c r="J795" s="211"/>
      <c r="K795" s="5"/>
      <c r="L795" s="5"/>
      <c r="N795" s="2"/>
      <c r="O795" s="2"/>
      <c r="P795" s="2"/>
      <c r="Q795" s="2"/>
      <c r="R795" s="2"/>
      <c r="S795" s="2"/>
      <c r="T795" s="10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IU795" s="2"/>
      <c r="IV795" s="2"/>
      <c r="IW795" s="2"/>
      <c r="IX795" s="2"/>
      <c r="IY795" s="2"/>
      <c r="IZ795" s="2"/>
      <c r="JA795" s="2"/>
      <c r="JB795" s="2"/>
      <c r="J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I796" s="209"/>
      <c r="J796" s="210"/>
      <c r="K796" s="209"/>
      <c r="L796" s="209"/>
      <c r="N796" s="2"/>
      <c r="O796" s="2"/>
      <c r="P796" s="2"/>
      <c r="Q796" s="2"/>
      <c r="R796" s="2"/>
      <c r="S796" s="2"/>
      <c r="T796" s="10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IU796" s="2"/>
      <c r="IV796" s="2"/>
      <c r="IW796" s="2"/>
      <c r="IX796" s="2"/>
      <c r="IY796" s="2"/>
      <c r="IZ796" s="2"/>
      <c r="JA796" s="2"/>
      <c r="JB796" s="2"/>
      <c r="J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I797" s="5"/>
      <c r="J797" s="211"/>
      <c r="K797" s="5"/>
      <c r="L797" s="5"/>
      <c r="N797" s="2"/>
      <c r="O797" s="2"/>
      <c r="P797" s="2"/>
      <c r="Q797" s="2"/>
      <c r="R797" s="2"/>
      <c r="S797" s="2"/>
      <c r="T797" s="10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IU797" s="2"/>
      <c r="IV797" s="2"/>
      <c r="IW797" s="2"/>
      <c r="IX797" s="2"/>
      <c r="IY797" s="2"/>
      <c r="IZ797" s="2"/>
      <c r="JA797" s="2"/>
      <c r="JB797" s="2"/>
      <c r="J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I798" s="209"/>
      <c r="J798" s="210"/>
      <c r="K798" s="209"/>
      <c r="L798" s="209"/>
      <c r="N798" s="2"/>
      <c r="O798" s="2"/>
      <c r="P798" s="2"/>
      <c r="Q798" s="2"/>
      <c r="R798" s="2"/>
      <c r="S798" s="2"/>
      <c r="T798" s="10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IU798" s="2"/>
      <c r="IV798" s="2"/>
      <c r="IW798" s="2"/>
      <c r="IX798" s="2"/>
      <c r="IY798" s="2"/>
      <c r="IZ798" s="2"/>
      <c r="JA798" s="2"/>
      <c r="JB798" s="2"/>
      <c r="J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I799" s="5"/>
      <c r="J799" s="211"/>
      <c r="K799" s="5"/>
      <c r="L799" s="5"/>
      <c r="N799" s="2"/>
      <c r="O799" s="2"/>
      <c r="P799" s="2"/>
      <c r="Q799" s="2"/>
      <c r="R799" s="2"/>
      <c r="S799" s="2"/>
      <c r="T799" s="10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IU799" s="2"/>
      <c r="IV799" s="2"/>
      <c r="IW799" s="2"/>
      <c r="IX799" s="2"/>
      <c r="IY799" s="2"/>
      <c r="IZ799" s="2"/>
      <c r="JA799" s="2"/>
      <c r="JB799" s="2"/>
      <c r="J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I800" s="209"/>
      <c r="J800" s="210"/>
      <c r="K800" s="209"/>
      <c r="L800" s="209"/>
      <c r="N800" s="2"/>
      <c r="O800" s="2"/>
      <c r="P800" s="2"/>
      <c r="Q800" s="2"/>
      <c r="R800" s="2"/>
      <c r="S800" s="2"/>
      <c r="T800" s="10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IU800" s="2"/>
      <c r="IV800" s="2"/>
      <c r="IW800" s="2"/>
      <c r="IX800" s="2"/>
      <c r="IY800" s="2"/>
      <c r="IZ800" s="2"/>
      <c r="JA800" s="2"/>
      <c r="JB800" s="2"/>
      <c r="J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I801" s="5"/>
      <c r="J801" s="211"/>
      <c r="K801" s="5"/>
      <c r="L801" s="5"/>
      <c r="N801" s="2"/>
      <c r="O801" s="2"/>
      <c r="P801" s="2"/>
      <c r="Q801" s="2"/>
      <c r="R801" s="2"/>
      <c r="S801" s="2"/>
      <c r="T801" s="10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IU801" s="2"/>
      <c r="IV801" s="2"/>
      <c r="IW801" s="2"/>
      <c r="IX801" s="2"/>
      <c r="IY801" s="2"/>
      <c r="IZ801" s="2"/>
      <c r="JA801" s="2"/>
      <c r="JB801" s="2"/>
      <c r="J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I802" s="209"/>
      <c r="J802" s="210"/>
      <c r="K802" s="209"/>
      <c r="L802" s="209"/>
      <c r="N802" s="2"/>
      <c r="O802" s="2"/>
      <c r="P802" s="2"/>
      <c r="Q802" s="2"/>
      <c r="R802" s="2"/>
      <c r="S802" s="2"/>
      <c r="T802" s="10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IU802" s="2"/>
      <c r="IV802" s="2"/>
      <c r="IW802" s="2"/>
      <c r="IX802" s="2"/>
      <c r="IY802" s="2"/>
      <c r="IZ802" s="2"/>
      <c r="JA802" s="2"/>
      <c r="JB802" s="2"/>
      <c r="J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I803" s="5"/>
      <c r="J803" s="211"/>
      <c r="K803" s="5"/>
      <c r="L803" s="5"/>
      <c r="N803" s="2"/>
      <c r="O803" s="2"/>
      <c r="P803" s="2"/>
      <c r="Q803" s="2"/>
      <c r="R803" s="2"/>
      <c r="S803" s="2"/>
      <c r="T803" s="10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IU803" s="2"/>
      <c r="IV803" s="2"/>
      <c r="IW803" s="2"/>
      <c r="IX803" s="2"/>
      <c r="IY803" s="2"/>
      <c r="IZ803" s="2"/>
      <c r="JA803" s="2"/>
      <c r="JB803" s="2"/>
      <c r="J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I804" s="209"/>
      <c r="J804" s="210"/>
      <c r="K804" s="209"/>
      <c r="L804" s="209"/>
      <c r="N804" s="2"/>
      <c r="O804" s="2"/>
      <c r="P804" s="2"/>
      <c r="Q804" s="2"/>
      <c r="R804" s="2"/>
      <c r="S804" s="2"/>
      <c r="T804" s="10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IU804" s="2"/>
      <c r="IV804" s="2"/>
      <c r="IW804" s="2"/>
      <c r="IX804" s="2"/>
      <c r="IY804" s="2"/>
      <c r="IZ804" s="2"/>
      <c r="JA804" s="2"/>
      <c r="JB804" s="2"/>
      <c r="J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I805" s="5"/>
      <c r="J805" s="211"/>
      <c r="K805" s="5"/>
      <c r="L805" s="5"/>
      <c r="N805" s="2"/>
      <c r="O805" s="2"/>
      <c r="P805" s="2"/>
      <c r="Q805" s="2"/>
      <c r="R805" s="2"/>
      <c r="S805" s="2"/>
      <c r="T805" s="10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IU805" s="2"/>
      <c r="IV805" s="2"/>
      <c r="IW805" s="2"/>
      <c r="IX805" s="2"/>
      <c r="IY805" s="2"/>
      <c r="IZ805" s="2"/>
      <c r="JA805" s="2"/>
      <c r="JB805" s="2"/>
      <c r="J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I806" s="209"/>
      <c r="J806" s="210"/>
      <c r="K806" s="209"/>
      <c r="L806" s="209"/>
      <c r="N806" s="2"/>
      <c r="O806" s="2"/>
      <c r="P806" s="2"/>
      <c r="Q806" s="2"/>
      <c r="R806" s="2"/>
      <c r="S806" s="2"/>
      <c r="T806" s="10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IU806" s="2"/>
      <c r="IV806" s="2"/>
      <c r="IW806" s="2"/>
      <c r="IX806" s="2"/>
      <c r="IY806" s="2"/>
      <c r="IZ806" s="2"/>
      <c r="JA806" s="2"/>
      <c r="JB806" s="2"/>
      <c r="J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I807" s="5"/>
      <c r="J807" s="211"/>
      <c r="K807" s="5"/>
      <c r="L807" s="5"/>
      <c r="N807" s="2"/>
      <c r="O807" s="2"/>
      <c r="P807" s="2"/>
      <c r="Q807" s="2"/>
      <c r="R807" s="2"/>
      <c r="S807" s="2"/>
      <c r="T807" s="10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IU807" s="2"/>
      <c r="IV807" s="2"/>
      <c r="IW807" s="2"/>
      <c r="IX807" s="2"/>
      <c r="IY807" s="2"/>
      <c r="IZ807" s="2"/>
      <c r="JA807" s="2"/>
      <c r="JB807" s="2"/>
      <c r="J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I808" s="209"/>
      <c r="J808" s="210"/>
      <c r="K808" s="209"/>
      <c r="L808" s="209"/>
      <c r="N808" s="2"/>
      <c r="O808" s="2"/>
      <c r="P808" s="2"/>
      <c r="Q808" s="2"/>
      <c r="R808" s="2"/>
      <c r="S808" s="2"/>
      <c r="T808" s="10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IU808" s="2"/>
      <c r="IV808" s="2"/>
      <c r="IW808" s="2"/>
      <c r="IX808" s="2"/>
      <c r="IY808" s="2"/>
      <c r="IZ808" s="2"/>
      <c r="JA808" s="2"/>
      <c r="JB808" s="2"/>
      <c r="J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I809" s="5"/>
      <c r="J809" s="211"/>
      <c r="K809" s="5"/>
      <c r="L809" s="5"/>
      <c r="N809" s="2"/>
      <c r="O809" s="2"/>
      <c r="P809" s="2"/>
      <c r="Q809" s="2"/>
      <c r="R809" s="2"/>
      <c r="S809" s="2"/>
      <c r="T809" s="10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IU809" s="2"/>
      <c r="IV809" s="2"/>
      <c r="IW809" s="2"/>
      <c r="IX809" s="2"/>
      <c r="IY809" s="2"/>
      <c r="IZ809" s="2"/>
      <c r="JA809" s="2"/>
      <c r="JB809" s="2"/>
      <c r="J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I810" s="209"/>
      <c r="J810" s="210"/>
      <c r="K810" s="209"/>
      <c r="L810" s="209"/>
      <c r="N810" s="2"/>
      <c r="O810" s="2"/>
      <c r="P810" s="2"/>
      <c r="Q810" s="2"/>
      <c r="R810" s="2"/>
      <c r="S810" s="2"/>
      <c r="T810" s="10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IU810" s="2"/>
      <c r="IV810" s="2"/>
      <c r="IW810" s="2"/>
      <c r="IX810" s="2"/>
      <c r="IY810" s="2"/>
      <c r="IZ810" s="2"/>
      <c r="JA810" s="2"/>
      <c r="JB810" s="2"/>
      <c r="J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I811" s="5"/>
      <c r="J811" s="211"/>
      <c r="K811" s="5"/>
      <c r="L811" s="5"/>
      <c r="N811" s="2"/>
      <c r="O811" s="2"/>
      <c r="P811" s="2"/>
      <c r="Q811" s="2"/>
      <c r="R811" s="2"/>
      <c r="S811" s="2"/>
      <c r="T811" s="10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IU811" s="2"/>
      <c r="IV811" s="2"/>
      <c r="IW811" s="2"/>
      <c r="IX811" s="2"/>
      <c r="IY811" s="2"/>
      <c r="IZ811" s="2"/>
      <c r="JA811" s="2"/>
      <c r="JB811" s="2"/>
      <c r="J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I812" s="209"/>
      <c r="J812" s="210"/>
      <c r="K812" s="209"/>
      <c r="L812" s="209"/>
      <c r="N812" s="2"/>
      <c r="O812" s="2"/>
      <c r="P812" s="2"/>
      <c r="Q812" s="2"/>
      <c r="R812" s="2"/>
      <c r="S812" s="2"/>
      <c r="T812" s="10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IU812" s="2"/>
      <c r="IV812" s="2"/>
      <c r="IW812" s="2"/>
      <c r="IX812" s="2"/>
      <c r="IY812" s="2"/>
      <c r="IZ812" s="2"/>
      <c r="JA812" s="2"/>
      <c r="JB812" s="2"/>
      <c r="J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I813" s="5"/>
      <c r="J813" s="211"/>
      <c r="K813" s="5"/>
      <c r="L813" s="5"/>
      <c r="N813" s="2"/>
      <c r="O813" s="2"/>
      <c r="P813" s="2"/>
      <c r="Q813" s="2"/>
      <c r="R813" s="2"/>
      <c r="S813" s="2"/>
      <c r="T813" s="10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IU813" s="2"/>
      <c r="IV813" s="2"/>
      <c r="IW813" s="2"/>
      <c r="IX813" s="2"/>
      <c r="IY813" s="2"/>
      <c r="IZ813" s="2"/>
      <c r="JA813" s="2"/>
      <c r="JB813" s="2"/>
      <c r="J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I814" s="209"/>
      <c r="J814" s="210"/>
      <c r="K814" s="209"/>
      <c r="L814" s="209"/>
      <c r="N814" s="2"/>
      <c r="O814" s="2"/>
      <c r="P814" s="2"/>
      <c r="Q814" s="2"/>
      <c r="R814" s="2"/>
      <c r="S814" s="2"/>
      <c r="T814" s="10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IU814" s="2"/>
      <c r="IV814" s="2"/>
      <c r="IW814" s="2"/>
      <c r="IX814" s="2"/>
      <c r="IY814" s="2"/>
      <c r="IZ814" s="2"/>
      <c r="JA814" s="2"/>
      <c r="JB814" s="2"/>
      <c r="J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I815" s="5"/>
      <c r="J815" s="211"/>
      <c r="K815" s="5"/>
      <c r="L815" s="5"/>
      <c r="N815" s="2"/>
      <c r="O815" s="2"/>
      <c r="P815" s="2"/>
      <c r="Q815" s="2"/>
      <c r="R815" s="2"/>
      <c r="S815" s="2"/>
      <c r="T815" s="10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IU815" s="2"/>
      <c r="IV815" s="2"/>
      <c r="IW815" s="2"/>
      <c r="IX815" s="2"/>
      <c r="IY815" s="2"/>
      <c r="IZ815" s="2"/>
      <c r="JA815" s="2"/>
      <c r="JB815" s="2"/>
      <c r="J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I816" s="209"/>
      <c r="J816" s="210"/>
      <c r="K816" s="209"/>
      <c r="L816" s="209"/>
      <c r="N816" s="2"/>
      <c r="O816" s="2"/>
      <c r="P816" s="2"/>
      <c r="Q816" s="2"/>
      <c r="R816" s="2"/>
      <c r="S816" s="2"/>
      <c r="T816" s="10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IU816" s="2"/>
      <c r="IV816" s="2"/>
      <c r="IW816" s="2"/>
      <c r="IX816" s="2"/>
      <c r="IY816" s="2"/>
      <c r="IZ816" s="2"/>
      <c r="JA816" s="2"/>
      <c r="JB816" s="2"/>
      <c r="J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I817" s="5"/>
      <c r="J817" s="211"/>
      <c r="K817" s="5"/>
      <c r="L817" s="5"/>
      <c r="N817" s="2"/>
      <c r="O817" s="2"/>
      <c r="P817" s="2"/>
      <c r="Q817" s="2"/>
      <c r="R817" s="2"/>
      <c r="S817" s="2"/>
      <c r="T817" s="10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IU817" s="2"/>
      <c r="IV817" s="2"/>
      <c r="IW817" s="2"/>
      <c r="IX817" s="2"/>
      <c r="IY817" s="2"/>
      <c r="IZ817" s="2"/>
      <c r="JA817" s="2"/>
      <c r="JB817" s="2"/>
      <c r="J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I818" s="209"/>
      <c r="J818" s="210"/>
      <c r="K818" s="209"/>
      <c r="L818" s="209"/>
      <c r="N818" s="2"/>
      <c r="O818" s="2"/>
      <c r="P818" s="2"/>
      <c r="Q818" s="2"/>
      <c r="R818" s="2"/>
      <c r="S818" s="2"/>
      <c r="T818" s="10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IU818" s="2"/>
      <c r="IV818" s="2"/>
      <c r="IW818" s="2"/>
      <c r="IX818" s="2"/>
      <c r="IY818" s="2"/>
      <c r="IZ818" s="2"/>
      <c r="JA818" s="2"/>
      <c r="JB818" s="2"/>
      <c r="J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I819" s="5"/>
      <c r="J819" s="211"/>
      <c r="K819" s="5"/>
      <c r="L819" s="5"/>
      <c r="N819" s="2"/>
      <c r="O819" s="2"/>
      <c r="P819" s="2"/>
      <c r="Q819" s="2"/>
      <c r="R819" s="2"/>
      <c r="S819" s="2"/>
      <c r="T819" s="10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IU819" s="2"/>
      <c r="IV819" s="2"/>
      <c r="IW819" s="2"/>
      <c r="IX819" s="2"/>
      <c r="IY819" s="2"/>
      <c r="IZ819" s="2"/>
      <c r="JA819" s="2"/>
      <c r="JB819" s="2"/>
      <c r="J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I820" s="209"/>
      <c r="J820" s="210"/>
      <c r="K820" s="209"/>
      <c r="L820" s="209"/>
      <c r="N820" s="2"/>
      <c r="O820" s="2"/>
      <c r="P820" s="2"/>
      <c r="Q820" s="2"/>
      <c r="R820" s="2"/>
      <c r="S820" s="2"/>
      <c r="T820" s="10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IU820" s="2"/>
      <c r="IV820" s="2"/>
      <c r="IW820" s="2"/>
      <c r="IX820" s="2"/>
      <c r="IY820" s="2"/>
      <c r="IZ820" s="2"/>
      <c r="JA820" s="2"/>
      <c r="JB820" s="2"/>
      <c r="J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I821" s="5"/>
      <c r="J821" s="211"/>
      <c r="K821" s="5"/>
      <c r="L821" s="5"/>
      <c r="N821" s="2"/>
      <c r="O821" s="2"/>
      <c r="P821" s="2"/>
      <c r="Q821" s="2"/>
      <c r="R821" s="2"/>
      <c r="S821" s="2"/>
      <c r="T821" s="10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IU821" s="2"/>
      <c r="IV821" s="2"/>
      <c r="IW821" s="2"/>
      <c r="IX821" s="2"/>
      <c r="IY821" s="2"/>
      <c r="IZ821" s="2"/>
      <c r="JA821" s="2"/>
      <c r="JB821" s="2"/>
      <c r="J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I822" s="209"/>
      <c r="J822" s="210"/>
      <c r="K822" s="209"/>
      <c r="L822" s="209"/>
      <c r="N822" s="2"/>
      <c r="O822" s="2"/>
      <c r="P822" s="2"/>
      <c r="Q822" s="2"/>
      <c r="R822" s="2"/>
      <c r="S822" s="2"/>
      <c r="T822" s="10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IU822" s="2"/>
      <c r="IV822" s="2"/>
      <c r="IW822" s="2"/>
      <c r="IX822" s="2"/>
      <c r="IY822" s="2"/>
      <c r="IZ822" s="2"/>
      <c r="JA822" s="2"/>
      <c r="JB822" s="2"/>
      <c r="J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I823" s="5"/>
      <c r="J823" s="211"/>
      <c r="K823" s="5"/>
      <c r="L823" s="5"/>
      <c r="N823" s="2"/>
      <c r="O823" s="2"/>
      <c r="P823" s="2"/>
      <c r="Q823" s="2"/>
      <c r="R823" s="2"/>
      <c r="S823" s="2"/>
      <c r="T823" s="10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IU823" s="2"/>
      <c r="IV823" s="2"/>
      <c r="IW823" s="2"/>
      <c r="IX823" s="2"/>
      <c r="IY823" s="2"/>
      <c r="IZ823" s="2"/>
      <c r="JA823" s="2"/>
      <c r="JB823" s="2"/>
      <c r="J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I824" s="209"/>
      <c r="J824" s="210"/>
      <c r="K824" s="209"/>
      <c r="L824" s="209"/>
      <c r="N824" s="2"/>
      <c r="O824" s="2"/>
      <c r="P824" s="2"/>
      <c r="Q824" s="2"/>
      <c r="R824" s="2"/>
      <c r="S824" s="2"/>
      <c r="T824" s="10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IU824" s="2"/>
      <c r="IV824" s="2"/>
      <c r="IW824" s="2"/>
      <c r="IX824" s="2"/>
      <c r="IY824" s="2"/>
      <c r="IZ824" s="2"/>
      <c r="JA824" s="2"/>
      <c r="JB824" s="2"/>
      <c r="J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I825" s="5"/>
      <c r="J825" s="211"/>
      <c r="K825" s="5"/>
      <c r="L825" s="5"/>
      <c r="N825" s="2"/>
      <c r="O825" s="2"/>
      <c r="P825" s="2"/>
      <c r="Q825" s="2"/>
      <c r="R825" s="2"/>
      <c r="S825" s="2"/>
      <c r="T825" s="10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IU825" s="2"/>
      <c r="IV825" s="2"/>
      <c r="IW825" s="2"/>
      <c r="IX825" s="2"/>
      <c r="IY825" s="2"/>
      <c r="IZ825" s="2"/>
      <c r="JA825" s="2"/>
      <c r="JB825" s="2"/>
      <c r="J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I826" s="209"/>
      <c r="J826" s="210"/>
      <c r="K826" s="209"/>
      <c r="L826" s="209"/>
      <c r="N826" s="2"/>
      <c r="O826" s="2"/>
      <c r="P826" s="2"/>
      <c r="Q826" s="2"/>
      <c r="R826" s="2"/>
      <c r="S826" s="2"/>
      <c r="T826" s="10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IU826" s="2"/>
      <c r="IV826" s="2"/>
      <c r="IW826" s="2"/>
      <c r="IX826" s="2"/>
      <c r="IY826" s="2"/>
      <c r="IZ826" s="2"/>
      <c r="JA826" s="2"/>
      <c r="JB826" s="2"/>
      <c r="J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I827" s="5"/>
      <c r="J827" s="211"/>
      <c r="K827" s="5"/>
      <c r="L827" s="5"/>
      <c r="N827" s="2"/>
      <c r="O827" s="2"/>
      <c r="P827" s="2"/>
      <c r="Q827" s="2"/>
      <c r="R827" s="2"/>
      <c r="S827" s="2"/>
      <c r="T827" s="10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IU827" s="2"/>
      <c r="IV827" s="2"/>
      <c r="IW827" s="2"/>
      <c r="IX827" s="2"/>
      <c r="IY827" s="2"/>
      <c r="IZ827" s="2"/>
      <c r="JA827" s="2"/>
      <c r="JB827" s="2"/>
      <c r="J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I828" s="209"/>
      <c r="J828" s="210"/>
      <c r="K828" s="209"/>
      <c r="L828" s="209"/>
      <c r="N828" s="2"/>
      <c r="O828" s="2"/>
      <c r="P828" s="2"/>
      <c r="Q828" s="2"/>
      <c r="R828" s="2"/>
      <c r="S828" s="2"/>
      <c r="T828" s="10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IU828" s="2"/>
      <c r="IV828" s="2"/>
      <c r="IW828" s="2"/>
      <c r="IX828" s="2"/>
      <c r="IY828" s="2"/>
      <c r="IZ828" s="2"/>
      <c r="JA828" s="2"/>
      <c r="JB828" s="2"/>
      <c r="J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I829" s="5"/>
      <c r="J829" s="211"/>
      <c r="K829" s="5"/>
      <c r="L829" s="5"/>
      <c r="N829" s="2"/>
      <c r="O829" s="2"/>
      <c r="P829" s="2"/>
      <c r="Q829" s="2"/>
      <c r="R829" s="2"/>
      <c r="S829" s="2"/>
      <c r="T829" s="10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IU829" s="2"/>
      <c r="IV829" s="2"/>
      <c r="IW829" s="2"/>
      <c r="IX829" s="2"/>
      <c r="IY829" s="2"/>
      <c r="IZ829" s="2"/>
      <c r="JA829" s="2"/>
      <c r="JB829" s="2"/>
      <c r="J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I830" s="209"/>
      <c r="J830" s="210"/>
      <c r="K830" s="209"/>
      <c r="L830" s="209"/>
      <c r="N830" s="2"/>
      <c r="O830" s="2"/>
      <c r="P830" s="2"/>
      <c r="Q830" s="2"/>
      <c r="R830" s="2"/>
      <c r="S830" s="2"/>
      <c r="T830" s="10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IU830" s="2"/>
      <c r="IV830" s="2"/>
      <c r="IW830" s="2"/>
      <c r="IX830" s="2"/>
      <c r="IY830" s="2"/>
      <c r="IZ830" s="2"/>
      <c r="JA830" s="2"/>
      <c r="JB830" s="2"/>
      <c r="J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I831" s="5"/>
      <c r="J831" s="211"/>
      <c r="K831" s="5"/>
      <c r="L831" s="5"/>
      <c r="N831" s="2"/>
      <c r="O831" s="2"/>
      <c r="P831" s="2"/>
      <c r="Q831" s="2"/>
      <c r="R831" s="2"/>
      <c r="S831" s="2"/>
      <c r="T831" s="10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IU831" s="2"/>
      <c r="IV831" s="2"/>
      <c r="IW831" s="2"/>
      <c r="IX831" s="2"/>
      <c r="IY831" s="2"/>
      <c r="IZ831" s="2"/>
      <c r="JA831" s="2"/>
      <c r="JB831" s="2"/>
      <c r="J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I832" s="209"/>
      <c r="J832" s="210"/>
      <c r="K832" s="209"/>
      <c r="L832" s="209"/>
      <c r="N832" s="2"/>
      <c r="O832" s="2"/>
      <c r="P832" s="2"/>
      <c r="Q832" s="2"/>
      <c r="R832" s="2"/>
      <c r="S832" s="2"/>
      <c r="T832" s="10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IU832" s="2"/>
      <c r="IV832" s="2"/>
      <c r="IW832" s="2"/>
      <c r="IX832" s="2"/>
      <c r="IY832" s="2"/>
      <c r="IZ832" s="2"/>
      <c r="JA832" s="2"/>
      <c r="JB832" s="2"/>
      <c r="J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I833" s="5"/>
      <c r="J833" s="211"/>
      <c r="K833" s="5"/>
      <c r="L833" s="5"/>
      <c r="N833" s="2"/>
      <c r="O833" s="2"/>
      <c r="P833" s="2"/>
      <c r="Q833" s="2"/>
      <c r="R833" s="2"/>
      <c r="S833" s="2"/>
      <c r="T833" s="10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IU833" s="2"/>
      <c r="IV833" s="2"/>
      <c r="IW833" s="2"/>
      <c r="IX833" s="2"/>
      <c r="IY833" s="2"/>
      <c r="IZ833" s="2"/>
      <c r="JA833" s="2"/>
      <c r="JB833" s="2"/>
      <c r="J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I834" s="209"/>
      <c r="J834" s="210"/>
      <c r="K834" s="209"/>
      <c r="L834" s="209"/>
      <c r="N834" s="2"/>
      <c r="O834" s="2"/>
      <c r="P834" s="2"/>
      <c r="Q834" s="2"/>
      <c r="R834" s="2"/>
      <c r="S834" s="2"/>
      <c r="T834" s="10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IU834" s="2"/>
      <c r="IV834" s="2"/>
      <c r="IW834" s="2"/>
      <c r="IX834" s="2"/>
      <c r="IY834" s="2"/>
      <c r="IZ834" s="2"/>
      <c r="JA834" s="2"/>
      <c r="JB834" s="2"/>
      <c r="J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I835" s="5"/>
      <c r="J835" s="211"/>
      <c r="K835" s="5"/>
      <c r="L835" s="5"/>
      <c r="N835" s="2"/>
      <c r="O835" s="2"/>
      <c r="P835" s="2"/>
      <c r="Q835" s="2"/>
      <c r="R835" s="2"/>
      <c r="S835" s="2"/>
      <c r="T835" s="10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IU835" s="2"/>
      <c r="IV835" s="2"/>
      <c r="IW835" s="2"/>
      <c r="IX835" s="2"/>
      <c r="IY835" s="2"/>
      <c r="IZ835" s="2"/>
      <c r="JA835" s="2"/>
      <c r="JB835" s="2"/>
      <c r="J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I836" s="209"/>
      <c r="J836" s="210"/>
      <c r="K836" s="209"/>
      <c r="L836" s="209"/>
      <c r="N836" s="2"/>
      <c r="O836" s="2"/>
      <c r="P836" s="2"/>
      <c r="Q836" s="2"/>
      <c r="R836" s="2"/>
      <c r="S836" s="2"/>
      <c r="T836" s="10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IU836" s="2"/>
      <c r="IV836" s="2"/>
      <c r="IW836" s="2"/>
      <c r="IX836" s="2"/>
      <c r="IY836" s="2"/>
      <c r="IZ836" s="2"/>
      <c r="JA836" s="2"/>
      <c r="JB836" s="2"/>
      <c r="J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I837" s="5"/>
      <c r="J837" s="211"/>
      <c r="K837" s="5"/>
      <c r="L837" s="5"/>
      <c r="N837" s="2"/>
      <c r="O837" s="2"/>
      <c r="P837" s="2"/>
      <c r="Q837" s="2"/>
      <c r="R837" s="2"/>
      <c r="S837" s="2"/>
      <c r="T837" s="10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IU837" s="2"/>
      <c r="IV837" s="2"/>
      <c r="IW837" s="2"/>
      <c r="IX837" s="2"/>
      <c r="IY837" s="2"/>
      <c r="IZ837" s="2"/>
      <c r="JA837" s="2"/>
      <c r="JB837" s="2"/>
      <c r="J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I838" s="209"/>
      <c r="J838" s="210"/>
      <c r="K838" s="209"/>
      <c r="L838" s="209"/>
      <c r="N838" s="2"/>
      <c r="O838" s="2"/>
      <c r="P838" s="2"/>
      <c r="Q838" s="2"/>
      <c r="R838" s="2"/>
      <c r="S838" s="2"/>
      <c r="T838" s="10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IU838" s="2"/>
      <c r="IV838" s="2"/>
      <c r="IW838" s="2"/>
      <c r="IX838" s="2"/>
      <c r="IY838" s="2"/>
      <c r="IZ838" s="2"/>
      <c r="JA838" s="2"/>
      <c r="JB838" s="2"/>
      <c r="J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I839" s="5"/>
      <c r="J839" s="211"/>
      <c r="K839" s="5"/>
      <c r="L839" s="5"/>
      <c r="N839" s="2"/>
      <c r="O839" s="2"/>
      <c r="P839" s="2"/>
      <c r="Q839" s="2"/>
      <c r="R839" s="2"/>
      <c r="S839" s="2"/>
      <c r="T839" s="10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IU839" s="2"/>
      <c r="IV839" s="2"/>
      <c r="IW839" s="2"/>
      <c r="IX839" s="2"/>
      <c r="IY839" s="2"/>
      <c r="IZ839" s="2"/>
      <c r="JA839" s="2"/>
      <c r="JB839" s="2"/>
      <c r="J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I840" s="209"/>
      <c r="J840" s="210"/>
      <c r="K840" s="209"/>
      <c r="L840" s="209"/>
      <c r="N840" s="2"/>
      <c r="O840" s="2"/>
      <c r="P840" s="2"/>
      <c r="Q840" s="2"/>
      <c r="R840" s="2"/>
      <c r="S840" s="2"/>
      <c r="T840" s="10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IU840" s="2"/>
      <c r="IV840" s="2"/>
      <c r="IW840" s="2"/>
      <c r="IX840" s="2"/>
      <c r="IY840" s="2"/>
      <c r="IZ840" s="2"/>
      <c r="JA840" s="2"/>
      <c r="JB840" s="2"/>
      <c r="J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I841" s="5"/>
      <c r="J841" s="211"/>
      <c r="K841" s="5"/>
      <c r="L841" s="5"/>
      <c r="N841" s="2"/>
      <c r="O841" s="2"/>
      <c r="P841" s="2"/>
      <c r="Q841" s="2"/>
      <c r="R841" s="2"/>
      <c r="S841" s="2"/>
      <c r="T841" s="10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IU841" s="2"/>
      <c r="IV841" s="2"/>
      <c r="IW841" s="2"/>
      <c r="IX841" s="2"/>
      <c r="IY841" s="2"/>
      <c r="IZ841" s="2"/>
      <c r="JA841" s="2"/>
      <c r="JB841" s="2"/>
      <c r="J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I842" s="209"/>
      <c r="J842" s="210"/>
      <c r="K842" s="209"/>
      <c r="L842" s="209"/>
      <c r="N842" s="2"/>
      <c r="O842" s="2"/>
      <c r="P842" s="2"/>
      <c r="Q842" s="2"/>
      <c r="R842" s="2"/>
      <c r="S842" s="2"/>
      <c r="T842" s="10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IU842" s="2"/>
      <c r="IV842" s="2"/>
      <c r="IW842" s="2"/>
      <c r="IX842" s="2"/>
      <c r="IY842" s="2"/>
      <c r="IZ842" s="2"/>
      <c r="JA842" s="2"/>
      <c r="JB842" s="2"/>
      <c r="J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I843" s="5"/>
      <c r="J843" s="211"/>
      <c r="K843" s="5"/>
      <c r="L843" s="5"/>
      <c r="N843" s="2"/>
      <c r="O843" s="2"/>
      <c r="P843" s="2"/>
      <c r="Q843" s="2"/>
      <c r="R843" s="2"/>
      <c r="S843" s="2"/>
      <c r="T843" s="10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IU843" s="2"/>
      <c r="IV843" s="2"/>
      <c r="IW843" s="2"/>
      <c r="IX843" s="2"/>
      <c r="IY843" s="2"/>
      <c r="IZ843" s="2"/>
      <c r="JA843" s="2"/>
      <c r="JB843" s="2"/>
      <c r="J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I844" s="209"/>
      <c r="J844" s="210"/>
      <c r="K844" s="209"/>
      <c r="L844" s="209"/>
      <c r="N844" s="2"/>
      <c r="O844" s="2"/>
      <c r="P844" s="2"/>
      <c r="Q844" s="2"/>
      <c r="R844" s="2"/>
      <c r="S844" s="2"/>
      <c r="T844" s="10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IU844" s="2"/>
      <c r="IV844" s="2"/>
      <c r="IW844" s="2"/>
      <c r="IX844" s="2"/>
      <c r="IY844" s="2"/>
      <c r="IZ844" s="2"/>
      <c r="JA844" s="2"/>
      <c r="JB844" s="2"/>
      <c r="J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I845" s="5"/>
      <c r="J845" s="211"/>
      <c r="K845" s="5"/>
      <c r="L845" s="5"/>
      <c r="N845" s="2"/>
      <c r="O845" s="2"/>
      <c r="P845" s="2"/>
      <c r="Q845" s="2"/>
      <c r="R845" s="2"/>
      <c r="S845" s="2"/>
      <c r="T845" s="10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IU845" s="2"/>
      <c r="IV845" s="2"/>
      <c r="IW845" s="2"/>
      <c r="IX845" s="2"/>
      <c r="IY845" s="2"/>
      <c r="IZ845" s="2"/>
      <c r="JA845" s="2"/>
      <c r="JB845" s="2"/>
      <c r="J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I846" s="209"/>
      <c r="J846" s="210"/>
      <c r="K846" s="209"/>
      <c r="L846" s="209"/>
      <c r="N846" s="2"/>
      <c r="O846" s="2"/>
      <c r="P846" s="2"/>
      <c r="Q846" s="2"/>
      <c r="R846" s="2"/>
      <c r="S846" s="2"/>
      <c r="T846" s="10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IU846" s="2"/>
      <c r="IV846" s="2"/>
      <c r="IW846" s="2"/>
      <c r="IX846" s="2"/>
      <c r="IY846" s="2"/>
      <c r="IZ846" s="2"/>
      <c r="JA846" s="2"/>
      <c r="JB846" s="2"/>
      <c r="J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I847" s="5"/>
      <c r="J847" s="211"/>
      <c r="K847" s="5"/>
      <c r="L847" s="5"/>
      <c r="N847" s="2"/>
      <c r="O847" s="2"/>
      <c r="P847" s="2"/>
      <c r="Q847" s="2"/>
      <c r="R847" s="2"/>
      <c r="S847" s="2"/>
      <c r="T847" s="10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IU847" s="2"/>
      <c r="IV847" s="2"/>
      <c r="IW847" s="2"/>
      <c r="IX847" s="2"/>
      <c r="IY847" s="2"/>
      <c r="IZ847" s="2"/>
      <c r="JA847" s="2"/>
      <c r="JB847" s="2"/>
      <c r="J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I848" s="209"/>
      <c r="J848" s="210"/>
      <c r="K848" s="209"/>
      <c r="L848" s="209"/>
      <c r="N848" s="2"/>
      <c r="O848" s="2"/>
      <c r="P848" s="2"/>
      <c r="Q848" s="2"/>
      <c r="R848" s="2"/>
      <c r="S848" s="2"/>
      <c r="T848" s="10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IU848" s="2"/>
      <c r="IV848" s="2"/>
      <c r="IW848" s="2"/>
      <c r="IX848" s="2"/>
      <c r="IY848" s="2"/>
      <c r="IZ848" s="2"/>
      <c r="JA848" s="2"/>
      <c r="JB848" s="2"/>
      <c r="J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I849" s="5"/>
      <c r="J849" s="211"/>
      <c r="K849" s="5"/>
      <c r="L849" s="5"/>
      <c r="N849" s="2"/>
      <c r="O849" s="2"/>
      <c r="P849" s="2"/>
      <c r="Q849" s="2"/>
      <c r="R849" s="2"/>
      <c r="S849" s="2"/>
      <c r="T849" s="10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IU849" s="2"/>
      <c r="IV849" s="2"/>
      <c r="IW849" s="2"/>
      <c r="IX849" s="2"/>
      <c r="IY849" s="2"/>
      <c r="IZ849" s="2"/>
      <c r="JA849" s="2"/>
      <c r="JB849" s="2"/>
      <c r="J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I850" s="209"/>
      <c r="J850" s="210"/>
      <c r="K850" s="209"/>
      <c r="L850" s="209"/>
      <c r="N850" s="2"/>
      <c r="O850" s="2"/>
      <c r="P850" s="2"/>
      <c r="Q850" s="2"/>
      <c r="R850" s="2"/>
      <c r="S850" s="2"/>
      <c r="T850" s="10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IU850" s="2"/>
      <c r="IV850" s="2"/>
      <c r="IW850" s="2"/>
      <c r="IX850" s="2"/>
      <c r="IY850" s="2"/>
      <c r="IZ850" s="2"/>
      <c r="JA850" s="2"/>
      <c r="JB850" s="2"/>
      <c r="J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I851" s="5"/>
      <c r="J851" s="211"/>
      <c r="K851" s="5"/>
      <c r="L851" s="5"/>
      <c r="N851" s="2"/>
      <c r="O851" s="2"/>
      <c r="P851" s="2"/>
      <c r="Q851" s="2"/>
      <c r="R851" s="2"/>
      <c r="S851" s="2"/>
      <c r="T851" s="10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IU851" s="2"/>
      <c r="IV851" s="2"/>
      <c r="IW851" s="2"/>
      <c r="IX851" s="2"/>
      <c r="IY851" s="2"/>
      <c r="IZ851" s="2"/>
      <c r="JA851" s="2"/>
      <c r="JB851" s="2"/>
      <c r="J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I852" s="209"/>
      <c r="J852" s="210"/>
      <c r="K852" s="209"/>
      <c r="L852" s="209"/>
      <c r="N852" s="2"/>
      <c r="O852" s="2"/>
      <c r="P852" s="2"/>
      <c r="Q852" s="2"/>
      <c r="R852" s="2"/>
      <c r="S852" s="2"/>
      <c r="T852" s="10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IU852" s="2"/>
      <c r="IV852" s="2"/>
      <c r="IW852" s="2"/>
      <c r="IX852" s="2"/>
      <c r="IY852" s="2"/>
      <c r="IZ852" s="2"/>
      <c r="JA852" s="2"/>
      <c r="JB852" s="2"/>
      <c r="J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I853" s="5"/>
      <c r="J853" s="211"/>
      <c r="K853" s="5"/>
      <c r="L853" s="5"/>
      <c r="N853" s="2"/>
      <c r="O853" s="2"/>
      <c r="P853" s="2"/>
      <c r="Q853" s="2"/>
      <c r="R853" s="2"/>
      <c r="S853" s="2"/>
      <c r="T853" s="10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IU853" s="2"/>
      <c r="IV853" s="2"/>
      <c r="IW853" s="2"/>
      <c r="IX853" s="2"/>
      <c r="IY853" s="2"/>
      <c r="IZ853" s="2"/>
      <c r="JA853" s="2"/>
      <c r="JB853" s="2"/>
      <c r="J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I854" s="209"/>
      <c r="J854" s="210"/>
      <c r="K854" s="209"/>
      <c r="L854" s="209"/>
      <c r="N854" s="2"/>
      <c r="O854" s="2"/>
      <c r="P854" s="2"/>
      <c r="Q854" s="2"/>
      <c r="R854" s="2"/>
      <c r="S854" s="2"/>
      <c r="T854" s="10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IU854" s="2"/>
      <c r="IV854" s="2"/>
      <c r="IW854" s="2"/>
      <c r="IX854" s="2"/>
      <c r="IY854" s="2"/>
      <c r="IZ854" s="2"/>
      <c r="JA854" s="2"/>
      <c r="JB854" s="2"/>
      <c r="J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I855" s="5"/>
      <c r="J855" s="211"/>
      <c r="K855" s="5"/>
      <c r="L855" s="5"/>
      <c r="N855" s="2"/>
      <c r="O855" s="2"/>
      <c r="P855" s="2"/>
      <c r="Q855" s="2"/>
      <c r="R855" s="2"/>
      <c r="S855" s="2"/>
      <c r="T855" s="10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IU855" s="2"/>
      <c r="IV855" s="2"/>
      <c r="IW855" s="2"/>
      <c r="IX855" s="2"/>
      <c r="IY855" s="2"/>
      <c r="IZ855" s="2"/>
      <c r="JA855" s="2"/>
      <c r="JB855" s="2"/>
      <c r="J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I856" s="209"/>
      <c r="J856" s="210"/>
      <c r="K856" s="209"/>
      <c r="L856" s="209"/>
      <c r="N856" s="2"/>
      <c r="O856" s="2"/>
      <c r="P856" s="2"/>
      <c r="Q856" s="2"/>
      <c r="R856" s="2"/>
      <c r="S856" s="2"/>
      <c r="T856" s="10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IU856" s="2"/>
      <c r="IV856" s="2"/>
      <c r="IW856" s="2"/>
      <c r="IX856" s="2"/>
      <c r="IY856" s="2"/>
      <c r="IZ856" s="2"/>
      <c r="JA856" s="2"/>
      <c r="JB856" s="2"/>
      <c r="J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I857" s="5"/>
      <c r="J857" s="211"/>
      <c r="K857" s="5"/>
      <c r="L857" s="5"/>
      <c r="N857" s="2"/>
      <c r="O857" s="2"/>
      <c r="P857" s="2"/>
      <c r="Q857" s="2"/>
      <c r="R857" s="2"/>
      <c r="S857" s="2"/>
      <c r="T857" s="10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IU857" s="2"/>
      <c r="IV857" s="2"/>
      <c r="IW857" s="2"/>
      <c r="IX857" s="2"/>
      <c r="IY857" s="2"/>
      <c r="IZ857" s="2"/>
      <c r="JA857" s="2"/>
      <c r="JB857" s="2"/>
      <c r="J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I858" s="209"/>
      <c r="J858" s="210"/>
      <c r="K858" s="209"/>
      <c r="L858" s="209"/>
      <c r="N858" s="2"/>
      <c r="O858" s="2"/>
      <c r="P858" s="2"/>
      <c r="Q858" s="2"/>
      <c r="R858" s="2"/>
      <c r="S858" s="2"/>
      <c r="T858" s="10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IU858" s="2"/>
      <c r="IV858" s="2"/>
      <c r="IW858" s="2"/>
      <c r="IX858" s="2"/>
      <c r="IY858" s="2"/>
      <c r="IZ858" s="2"/>
      <c r="JA858" s="2"/>
      <c r="JB858" s="2"/>
      <c r="J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I859" s="5"/>
      <c r="J859" s="211"/>
      <c r="K859" s="5"/>
      <c r="L859" s="5"/>
      <c r="N859" s="2"/>
      <c r="O859" s="2"/>
      <c r="P859" s="2"/>
      <c r="Q859" s="2"/>
      <c r="R859" s="2"/>
      <c r="S859" s="2"/>
      <c r="T859" s="10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IU859" s="2"/>
      <c r="IV859" s="2"/>
      <c r="IW859" s="2"/>
      <c r="IX859" s="2"/>
      <c r="IY859" s="2"/>
      <c r="IZ859" s="2"/>
      <c r="JA859" s="2"/>
      <c r="JB859" s="2"/>
      <c r="J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I860" s="209"/>
      <c r="J860" s="210"/>
      <c r="K860" s="209"/>
      <c r="L860" s="209"/>
      <c r="N860" s="2"/>
      <c r="O860" s="2"/>
      <c r="P860" s="2"/>
      <c r="Q860" s="2"/>
      <c r="R860" s="2"/>
      <c r="S860" s="2"/>
      <c r="T860" s="10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IU860" s="2"/>
      <c r="IV860" s="2"/>
      <c r="IW860" s="2"/>
      <c r="IX860" s="2"/>
      <c r="IY860" s="2"/>
      <c r="IZ860" s="2"/>
      <c r="JA860" s="2"/>
      <c r="JB860" s="2"/>
      <c r="J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I861" s="5"/>
      <c r="J861" s="211"/>
      <c r="K861" s="5"/>
      <c r="L861" s="5"/>
      <c r="N861" s="2"/>
      <c r="O861" s="2"/>
      <c r="P861" s="2"/>
      <c r="Q861" s="2"/>
      <c r="R861" s="2"/>
      <c r="S861" s="2"/>
      <c r="T861" s="10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IU861" s="2"/>
      <c r="IV861" s="2"/>
      <c r="IW861" s="2"/>
      <c r="IX861" s="2"/>
      <c r="IY861" s="2"/>
      <c r="IZ861" s="2"/>
      <c r="JA861" s="2"/>
      <c r="JB861" s="2"/>
      <c r="J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I862" s="209"/>
      <c r="J862" s="210"/>
      <c r="K862" s="209"/>
      <c r="L862" s="209"/>
      <c r="N862" s="2"/>
      <c r="O862" s="2"/>
      <c r="P862" s="2"/>
      <c r="Q862" s="2"/>
      <c r="R862" s="2"/>
      <c r="S862" s="2"/>
      <c r="T862" s="10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IU862" s="2"/>
      <c r="IV862" s="2"/>
      <c r="IW862" s="2"/>
      <c r="IX862" s="2"/>
      <c r="IY862" s="2"/>
      <c r="IZ862" s="2"/>
      <c r="JA862" s="2"/>
      <c r="JB862" s="2"/>
      <c r="J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I863" s="5"/>
      <c r="J863" s="211"/>
      <c r="K863" s="5"/>
      <c r="L863" s="5"/>
      <c r="N863" s="2"/>
      <c r="O863" s="2"/>
      <c r="P863" s="2"/>
      <c r="Q863" s="2"/>
      <c r="R863" s="2"/>
      <c r="S863" s="2"/>
      <c r="T863" s="10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IU863" s="2"/>
      <c r="IV863" s="2"/>
      <c r="IW863" s="2"/>
      <c r="IX863" s="2"/>
      <c r="IY863" s="2"/>
      <c r="IZ863" s="2"/>
      <c r="JA863" s="2"/>
      <c r="JB863" s="2"/>
      <c r="J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I864" s="209"/>
      <c r="J864" s="210"/>
      <c r="K864" s="209"/>
      <c r="L864" s="209"/>
      <c r="N864" s="2"/>
      <c r="O864" s="2"/>
      <c r="P864" s="2"/>
      <c r="Q864" s="2"/>
      <c r="R864" s="2"/>
      <c r="S864" s="2"/>
      <c r="T864" s="10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IU864" s="2"/>
      <c r="IV864" s="2"/>
      <c r="IW864" s="2"/>
      <c r="IX864" s="2"/>
      <c r="IY864" s="2"/>
      <c r="IZ864" s="2"/>
      <c r="JA864" s="2"/>
      <c r="JB864" s="2"/>
      <c r="J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I865" s="5"/>
      <c r="J865" s="211"/>
      <c r="K865" s="5"/>
      <c r="L865" s="5"/>
      <c r="N865" s="2"/>
      <c r="O865" s="2"/>
      <c r="P865" s="2"/>
      <c r="Q865" s="2"/>
      <c r="R865" s="2"/>
      <c r="S865" s="2"/>
      <c r="T865" s="10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IU865" s="2"/>
      <c r="IV865" s="2"/>
      <c r="IW865" s="2"/>
      <c r="IX865" s="2"/>
      <c r="IY865" s="2"/>
      <c r="IZ865" s="2"/>
      <c r="JA865" s="2"/>
      <c r="JB865" s="2"/>
      <c r="J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I866" s="209"/>
      <c r="J866" s="210"/>
      <c r="K866" s="209"/>
      <c r="L866" s="209"/>
      <c r="N866" s="2"/>
      <c r="O866" s="2"/>
      <c r="P866" s="2"/>
      <c r="Q866" s="2"/>
      <c r="R866" s="2"/>
      <c r="S866" s="2"/>
      <c r="T866" s="10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IU866" s="2"/>
      <c r="IV866" s="2"/>
      <c r="IW866" s="2"/>
      <c r="IX866" s="2"/>
      <c r="IY866" s="2"/>
      <c r="IZ866" s="2"/>
      <c r="JA866" s="2"/>
      <c r="JB866" s="2"/>
      <c r="J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I867" s="5"/>
      <c r="J867" s="211"/>
      <c r="K867" s="5"/>
      <c r="L867" s="5"/>
      <c r="N867" s="2"/>
      <c r="O867" s="2"/>
      <c r="P867" s="2"/>
      <c r="Q867" s="2"/>
      <c r="R867" s="2"/>
      <c r="S867" s="2"/>
      <c r="T867" s="10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IU867" s="2"/>
      <c r="IV867" s="2"/>
      <c r="IW867" s="2"/>
      <c r="IX867" s="2"/>
      <c r="IY867" s="2"/>
      <c r="IZ867" s="2"/>
      <c r="JA867" s="2"/>
      <c r="JB867" s="2"/>
      <c r="J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I868" s="209"/>
      <c r="J868" s="210"/>
      <c r="K868" s="209"/>
      <c r="L868" s="209"/>
      <c r="N868" s="2"/>
      <c r="O868" s="2"/>
      <c r="P868" s="2"/>
      <c r="Q868" s="2"/>
      <c r="R868" s="2"/>
      <c r="S868" s="2"/>
      <c r="T868" s="10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IU868" s="2"/>
      <c r="IV868" s="2"/>
      <c r="IW868" s="2"/>
      <c r="IX868" s="2"/>
      <c r="IY868" s="2"/>
      <c r="IZ868" s="2"/>
      <c r="JA868" s="2"/>
      <c r="JB868" s="2"/>
      <c r="J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I869" s="5"/>
      <c r="J869" s="211"/>
      <c r="K869" s="5"/>
      <c r="L869" s="5"/>
      <c r="N869" s="2"/>
      <c r="O869" s="2"/>
      <c r="P869" s="2"/>
      <c r="Q869" s="2"/>
      <c r="R869" s="2"/>
      <c r="S869" s="2"/>
      <c r="T869" s="10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IU869" s="2"/>
      <c r="IV869" s="2"/>
      <c r="IW869" s="2"/>
      <c r="IX869" s="2"/>
      <c r="IY869" s="2"/>
      <c r="IZ869" s="2"/>
      <c r="JA869" s="2"/>
      <c r="JB869" s="2"/>
      <c r="J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I870" s="209"/>
      <c r="J870" s="210"/>
      <c r="K870" s="209"/>
      <c r="L870" s="209"/>
      <c r="N870" s="2"/>
      <c r="O870" s="2"/>
      <c r="P870" s="2"/>
      <c r="Q870" s="2"/>
      <c r="R870" s="2"/>
      <c r="S870" s="2"/>
      <c r="T870" s="10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IU870" s="2"/>
      <c r="IV870" s="2"/>
      <c r="IW870" s="2"/>
      <c r="IX870" s="2"/>
      <c r="IY870" s="2"/>
      <c r="IZ870" s="2"/>
      <c r="JA870" s="2"/>
      <c r="JB870" s="2"/>
      <c r="J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I871" s="5"/>
      <c r="J871" s="211"/>
      <c r="K871" s="5"/>
      <c r="L871" s="5"/>
      <c r="N871" s="2"/>
      <c r="O871" s="2"/>
      <c r="P871" s="2"/>
      <c r="Q871" s="2"/>
      <c r="R871" s="2"/>
      <c r="S871" s="2"/>
      <c r="T871" s="10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IU871" s="2"/>
      <c r="IV871" s="2"/>
      <c r="IW871" s="2"/>
      <c r="IX871" s="2"/>
      <c r="IY871" s="2"/>
      <c r="IZ871" s="2"/>
      <c r="JA871" s="2"/>
      <c r="JB871" s="2"/>
      <c r="J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I872" s="209"/>
      <c r="J872" s="210"/>
      <c r="K872" s="209"/>
      <c r="L872" s="209"/>
      <c r="N872" s="2"/>
      <c r="O872" s="2"/>
      <c r="P872" s="2"/>
      <c r="Q872" s="2"/>
      <c r="R872" s="2"/>
      <c r="S872" s="2"/>
      <c r="T872" s="10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IU872" s="2"/>
      <c r="IV872" s="2"/>
      <c r="IW872" s="2"/>
      <c r="IX872" s="2"/>
      <c r="IY872" s="2"/>
      <c r="IZ872" s="2"/>
      <c r="JA872" s="2"/>
      <c r="JB872" s="2"/>
      <c r="J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I873" s="5"/>
      <c r="J873" s="211"/>
      <c r="K873" s="5"/>
      <c r="L873" s="5"/>
      <c r="N873" s="2"/>
      <c r="O873" s="2"/>
      <c r="P873" s="2"/>
      <c r="Q873" s="2"/>
      <c r="R873" s="2"/>
      <c r="S873" s="2"/>
      <c r="T873" s="10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IU873" s="2"/>
      <c r="IV873" s="2"/>
      <c r="IW873" s="2"/>
      <c r="IX873" s="2"/>
      <c r="IY873" s="2"/>
      <c r="IZ873" s="2"/>
      <c r="JA873" s="2"/>
      <c r="JB873" s="2"/>
      <c r="J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I874" s="209"/>
      <c r="J874" s="210"/>
      <c r="K874" s="209"/>
      <c r="L874" s="209"/>
      <c r="N874" s="2"/>
      <c r="O874" s="2"/>
      <c r="P874" s="2"/>
      <c r="Q874" s="2"/>
      <c r="R874" s="2"/>
      <c r="S874" s="2"/>
      <c r="T874" s="10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IU874" s="2"/>
      <c r="IV874" s="2"/>
      <c r="IW874" s="2"/>
      <c r="IX874" s="2"/>
      <c r="IY874" s="2"/>
      <c r="IZ874" s="2"/>
      <c r="JA874" s="2"/>
      <c r="JB874" s="2"/>
      <c r="J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I875" s="5"/>
      <c r="J875" s="211"/>
      <c r="K875" s="5"/>
      <c r="L875" s="5"/>
      <c r="N875" s="2"/>
      <c r="O875" s="2"/>
      <c r="P875" s="2"/>
      <c r="Q875" s="2"/>
      <c r="R875" s="2"/>
      <c r="S875" s="2"/>
      <c r="T875" s="10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IU875" s="2"/>
      <c r="IV875" s="2"/>
      <c r="IW875" s="2"/>
      <c r="IX875" s="2"/>
      <c r="IY875" s="2"/>
      <c r="IZ875" s="2"/>
      <c r="JA875" s="2"/>
      <c r="JB875" s="2"/>
      <c r="J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I876" s="209"/>
      <c r="J876" s="210"/>
      <c r="K876" s="209"/>
      <c r="L876" s="209"/>
      <c r="N876" s="2"/>
      <c r="O876" s="2"/>
      <c r="P876" s="2"/>
      <c r="Q876" s="2"/>
      <c r="R876" s="2"/>
      <c r="S876" s="2"/>
      <c r="T876" s="10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IU876" s="2"/>
      <c r="IV876" s="2"/>
      <c r="IW876" s="2"/>
      <c r="IX876" s="2"/>
      <c r="IY876" s="2"/>
      <c r="IZ876" s="2"/>
      <c r="JA876" s="2"/>
      <c r="JB876" s="2"/>
      <c r="J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I877" s="5"/>
      <c r="J877" s="211"/>
      <c r="K877" s="5"/>
      <c r="L877" s="5"/>
      <c r="N877" s="2"/>
      <c r="O877" s="2"/>
      <c r="P877" s="2"/>
      <c r="Q877" s="2"/>
      <c r="R877" s="2"/>
      <c r="S877" s="2"/>
      <c r="T877" s="10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IU877" s="2"/>
      <c r="IV877" s="2"/>
      <c r="IW877" s="2"/>
      <c r="IX877" s="2"/>
      <c r="IY877" s="2"/>
      <c r="IZ877" s="2"/>
      <c r="JA877" s="2"/>
      <c r="JB877" s="2"/>
      <c r="J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I878" s="209"/>
      <c r="J878" s="210"/>
      <c r="K878" s="209"/>
      <c r="L878" s="209"/>
      <c r="N878" s="2"/>
      <c r="O878" s="2"/>
      <c r="P878" s="2"/>
      <c r="Q878" s="2"/>
      <c r="R878" s="2"/>
      <c r="S878" s="2"/>
      <c r="T878" s="10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IU878" s="2"/>
      <c r="IV878" s="2"/>
      <c r="IW878" s="2"/>
      <c r="IX878" s="2"/>
      <c r="IY878" s="2"/>
      <c r="IZ878" s="2"/>
      <c r="JA878" s="2"/>
      <c r="JB878" s="2"/>
      <c r="J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I879" s="5"/>
      <c r="J879" s="211"/>
      <c r="K879" s="5"/>
      <c r="L879" s="5"/>
      <c r="N879" s="2"/>
      <c r="O879" s="2"/>
      <c r="P879" s="2"/>
      <c r="Q879" s="2"/>
      <c r="R879" s="2"/>
      <c r="S879" s="2"/>
      <c r="T879" s="10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IU879" s="2"/>
      <c r="IV879" s="2"/>
      <c r="IW879" s="2"/>
      <c r="IX879" s="2"/>
      <c r="IY879" s="2"/>
      <c r="IZ879" s="2"/>
      <c r="JA879" s="2"/>
      <c r="JB879" s="2"/>
      <c r="J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I880" s="209"/>
      <c r="J880" s="210"/>
      <c r="K880" s="209"/>
      <c r="L880" s="209"/>
      <c r="N880" s="2"/>
      <c r="O880" s="2"/>
      <c r="P880" s="2"/>
      <c r="Q880" s="2"/>
      <c r="R880" s="2"/>
      <c r="S880" s="2"/>
      <c r="T880" s="10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IU880" s="2"/>
      <c r="IV880" s="2"/>
      <c r="IW880" s="2"/>
      <c r="IX880" s="2"/>
      <c r="IY880" s="2"/>
      <c r="IZ880" s="2"/>
      <c r="JA880" s="2"/>
      <c r="JB880" s="2"/>
      <c r="J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I881" s="5"/>
      <c r="J881" s="211"/>
      <c r="K881" s="5"/>
      <c r="L881" s="5"/>
      <c r="N881" s="2"/>
      <c r="O881" s="2"/>
      <c r="P881" s="2"/>
      <c r="Q881" s="2"/>
      <c r="R881" s="2"/>
      <c r="S881" s="2"/>
      <c r="T881" s="10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IU881" s="2"/>
      <c r="IV881" s="2"/>
      <c r="IW881" s="2"/>
      <c r="IX881" s="2"/>
      <c r="IY881" s="2"/>
      <c r="IZ881" s="2"/>
      <c r="JA881" s="2"/>
      <c r="JB881" s="2"/>
      <c r="J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I882" s="209"/>
      <c r="J882" s="210"/>
      <c r="K882" s="209"/>
      <c r="L882" s="209"/>
      <c r="N882" s="2"/>
      <c r="O882" s="2"/>
      <c r="P882" s="2"/>
      <c r="Q882" s="2"/>
      <c r="R882" s="2"/>
      <c r="S882" s="2"/>
      <c r="T882" s="10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IU882" s="2"/>
      <c r="IV882" s="2"/>
      <c r="IW882" s="2"/>
      <c r="IX882" s="2"/>
      <c r="IY882" s="2"/>
      <c r="IZ882" s="2"/>
      <c r="JA882" s="2"/>
      <c r="JB882" s="2"/>
      <c r="J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I883" s="5"/>
      <c r="J883" s="211"/>
      <c r="K883" s="5"/>
      <c r="L883" s="5"/>
      <c r="N883" s="2"/>
      <c r="O883" s="2"/>
      <c r="P883" s="2"/>
      <c r="Q883" s="2"/>
      <c r="R883" s="2"/>
      <c r="S883" s="2"/>
      <c r="T883" s="10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IU883" s="2"/>
      <c r="IV883" s="2"/>
      <c r="IW883" s="2"/>
      <c r="IX883" s="2"/>
      <c r="IY883" s="2"/>
      <c r="IZ883" s="2"/>
      <c r="JA883" s="2"/>
      <c r="JB883" s="2"/>
      <c r="J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I884" s="209"/>
      <c r="J884" s="210"/>
      <c r="K884" s="209"/>
      <c r="L884" s="209"/>
      <c r="N884" s="2"/>
      <c r="O884" s="2"/>
      <c r="P884" s="2"/>
      <c r="Q884" s="2"/>
      <c r="R884" s="2"/>
      <c r="S884" s="2"/>
      <c r="T884" s="10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IU884" s="2"/>
      <c r="IV884" s="2"/>
      <c r="IW884" s="2"/>
      <c r="IX884" s="2"/>
      <c r="IY884" s="2"/>
      <c r="IZ884" s="2"/>
      <c r="JA884" s="2"/>
      <c r="JB884" s="2"/>
      <c r="J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I885" s="5"/>
      <c r="J885" s="211"/>
      <c r="K885" s="5"/>
      <c r="L885" s="5"/>
      <c r="N885" s="2"/>
      <c r="O885" s="2"/>
      <c r="P885" s="2"/>
      <c r="Q885" s="2"/>
      <c r="R885" s="2"/>
      <c r="S885" s="2"/>
      <c r="T885" s="10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IU885" s="2"/>
      <c r="IV885" s="2"/>
      <c r="IW885" s="2"/>
      <c r="IX885" s="2"/>
      <c r="IY885" s="2"/>
      <c r="IZ885" s="2"/>
      <c r="JA885" s="2"/>
      <c r="JB885" s="2"/>
      <c r="J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I886" s="209"/>
      <c r="J886" s="210"/>
      <c r="K886" s="209"/>
      <c r="L886" s="209"/>
      <c r="N886" s="2"/>
      <c r="O886" s="2"/>
      <c r="P886" s="2"/>
      <c r="Q886" s="2"/>
      <c r="R886" s="2"/>
      <c r="S886" s="2"/>
      <c r="T886" s="10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IU886" s="2"/>
      <c r="IV886" s="2"/>
      <c r="IW886" s="2"/>
      <c r="IX886" s="2"/>
      <c r="IY886" s="2"/>
      <c r="IZ886" s="2"/>
      <c r="JA886" s="2"/>
      <c r="JB886" s="2"/>
      <c r="J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I887" s="5"/>
      <c r="J887" s="211"/>
      <c r="K887" s="5"/>
      <c r="L887" s="5"/>
      <c r="N887" s="2"/>
      <c r="O887" s="2"/>
      <c r="P887" s="2"/>
      <c r="Q887" s="2"/>
      <c r="R887" s="2"/>
      <c r="S887" s="2"/>
      <c r="T887" s="10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IU887" s="2"/>
      <c r="IV887" s="2"/>
      <c r="IW887" s="2"/>
      <c r="IX887" s="2"/>
      <c r="IY887" s="2"/>
      <c r="IZ887" s="2"/>
      <c r="JA887" s="2"/>
      <c r="JB887" s="2"/>
      <c r="J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I888" s="209"/>
      <c r="J888" s="210"/>
      <c r="K888" s="209"/>
      <c r="L888" s="209"/>
      <c r="N888" s="2"/>
      <c r="O888" s="2"/>
      <c r="P888" s="2"/>
      <c r="Q888" s="2"/>
      <c r="R888" s="2"/>
      <c r="S888" s="2"/>
      <c r="T888" s="10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IU888" s="2"/>
      <c r="IV888" s="2"/>
      <c r="IW888" s="2"/>
      <c r="IX888" s="2"/>
      <c r="IY888" s="2"/>
      <c r="IZ888" s="2"/>
      <c r="JA888" s="2"/>
      <c r="JB888" s="2"/>
      <c r="J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I889" s="5"/>
      <c r="J889" s="211"/>
      <c r="K889" s="5"/>
      <c r="L889" s="5"/>
      <c r="N889" s="2"/>
      <c r="O889" s="2"/>
      <c r="P889" s="2"/>
      <c r="Q889" s="2"/>
      <c r="R889" s="2"/>
      <c r="S889" s="2"/>
      <c r="T889" s="10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IU889" s="2"/>
      <c r="IV889" s="2"/>
      <c r="IW889" s="2"/>
      <c r="IX889" s="2"/>
      <c r="IY889" s="2"/>
      <c r="IZ889" s="2"/>
      <c r="JA889" s="2"/>
      <c r="JB889" s="2"/>
      <c r="J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I890" s="209"/>
      <c r="J890" s="210"/>
      <c r="K890" s="209"/>
      <c r="L890" s="209"/>
      <c r="N890" s="2"/>
      <c r="O890" s="2"/>
      <c r="P890" s="2"/>
      <c r="Q890" s="2"/>
      <c r="R890" s="2"/>
      <c r="S890" s="2"/>
      <c r="T890" s="10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IU890" s="2"/>
      <c r="IV890" s="2"/>
      <c r="IW890" s="2"/>
      <c r="IX890" s="2"/>
      <c r="IY890" s="2"/>
      <c r="IZ890" s="2"/>
      <c r="JA890" s="2"/>
      <c r="JB890" s="2"/>
      <c r="J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I891" s="5"/>
      <c r="J891" s="211"/>
      <c r="K891" s="5"/>
      <c r="L891" s="5"/>
      <c r="N891" s="2"/>
      <c r="O891" s="2"/>
      <c r="P891" s="2"/>
      <c r="Q891" s="2"/>
      <c r="R891" s="2"/>
      <c r="S891" s="2"/>
      <c r="T891" s="10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IU891" s="2"/>
      <c r="IV891" s="2"/>
      <c r="IW891" s="2"/>
      <c r="IX891" s="2"/>
      <c r="IY891" s="2"/>
      <c r="IZ891" s="2"/>
      <c r="JA891" s="2"/>
      <c r="JB891" s="2"/>
      <c r="J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I892" s="209"/>
      <c r="J892" s="210"/>
      <c r="K892" s="209"/>
      <c r="L892" s="209"/>
      <c r="N892" s="2"/>
      <c r="O892" s="2"/>
      <c r="P892" s="2"/>
      <c r="Q892" s="2"/>
      <c r="R892" s="2"/>
      <c r="S892" s="2"/>
      <c r="T892" s="10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IU892" s="2"/>
      <c r="IV892" s="2"/>
      <c r="IW892" s="2"/>
      <c r="IX892" s="2"/>
      <c r="IY892" s="2"/>
      <c r="IZ892" s="2"/>
      <c r="JA892" s="2"/>
      <c r="JB892" s="2"/>
      <c r="J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I893" s="5"/>
      <c r="J893" s="211"/>
      <c r="K893" s="5"/>
      <c r="L893" s="5"/>
      <c r="N893" s="2"/>
      <c r="O893" s="2"/>
      <c r="P893" s="2"/>
      <c r="Q893" s="2"/>
      <c r="R893" s="2"/>
      <c r="S893" s="2"/>
      <c r="T893" s="10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IU893" s="2"/>
      <c r="IV893" s="2"/>
      <c r="IW893" s="2"/>
      <c r="IX893" s="2"/>
      <c r="IY893" s="2"/>
      <c r="IZ893" s="2"/>
      <c r="JA893" s="2"/>
      <c r="JB893" s="2"/>
      <c r="J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I894" s="209"/>
      <c r="J894" s="210"/>
      <c r="K894" s="209"/>
      <c r="L894" s="209"/>
      <c r="N894" s="2"/>
      <c r="O894" s="2"/>
      <c r="P894" s="2"/>
      <c r="Q894" s="2"/>
      <c r="R894" s="2"/>
      <c r="S894" s="2"/>
      <c r="T894" s="10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IU894" s="2"/>
      <c r="IV894" s="2"/>
      <c r="IW894" s="2"/>
      <c r="IX894" s="2"/>
      <c r="IY894" s="2"/>
      <c r="IZ894" s="2"/>
      <c r="JA894" s="2"/>
      <c r="JB894" s="2"/>
      <c r="J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I895" s="5"/>
      <c r="J895" s="211"/>
      <c r="K895" s="5"/>
      <c r="L895" s="5"/>
      <c r="N895" s="2"/>
      <c r="O895" s="2"/>
      <c r="P895" s="2"/>
      <c r="Q895" s="2"/>
      <c r="R895" s="2"/>
      <c r="S895" s="2"/>
      <c r="T895" s="10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IU895" s="2"/>
      <c r="IV895" s="2"/>
      <c r="IW895" s="2"/>
      <c r="IX895" s="2"/>
      <c r="IY895" s="2"/>
      <c r="IZ895" s="2"/>
      <c r="JA895" s="2"/>
      <c r="JB895" s="2"/>
      <c r="J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I896" s="209"/>
      <c r="J896" s="210"/>
      <c r="K896" s="209"/>
      <c r="L896" s="209"/>
      <c r="N896" s="2"/>
      <c r="O896" s="2"/>
      <c r="P896" s="2"/>
      <c r="Q896" s="2"/>
      <c r="R896" s="2"/>
      <c r="S896" s="2"/>
      <c r="T896" s="10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IU896" s="2"/>
      <c r="IV896" s="2"/>
      <c r="IW896" s="2"/>
      <c r="IX896" s="2"/>
      <c r="IY896" s="2"/>
      <c r="IZ896" s="2"/>
      <c r="JA896" s="2"/>
      <c r="JB896" s="2"/>
      <c r="J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I897" s="5"/>
      <c r="J897" s="211"/>
      <c r="K897" s="5"/>
      <c r="L897" s="5"/>
      <c r="N897" s="2"/>
      <c r="O897" s="2"/>
      <c r="P897" s="2"/>
      <c r="Q897" s="2"/>
      <c r="R897" s="2"/>
      <c r="S897" s="2"/>
      <c r="T897" s="10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IU897" s="2"/>
      <c r="IV897" s="2"/>
      <c r="IW897" s="2"/>
      <c r="IX897" s="2"/>
      <c r="IY897" s="2"/>
      <c r="IZ897" s="2"/>
      <c r="JA897" s="2"/>
      <c r="JB897" s="2"/>
      <c r="J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I898" s="209"/>
      <c r="J898" s="210"/>
      <c r="K898" s="209"/>
      <c r="L898" s="209"/>
      <c r="N898" s="2"/>
      <c r="O898" s="2"/>
      <c r="P898" s="2"/>
      <c r="Q898" s="2"/>
      <c r="R898" s="2"/>
      <c r="S898" s="2"/>
      <c r="T898" s="10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IU898" s="2"/>
      <c r="IV898" s="2"/>
      <c r="IW898" s="2"/>
      <c r="IX898" s="2"/>
      <c r="IY898" s="2"/>
      <c r="IZ898" s="2"/>
      <c r="JA898" s="2"/>
      <c r="JB898" s="2"/>
      <c r="J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I899" s="5"/>
      <c r="J899" s="211"/>
      <c r="K899" s="5"/>
      <c r="L899" s="5"/>
      <c r="N899" s="2"/>
      <c r="O899" s="2"/>
      <c r="P899" s="2"/>
      <c r="Q899" s="2"/>
      <c r="R899" s="2"/>
      <c r="S899" s="2"/>
      <c r="T899" s="10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IU899" s="2"/>
      <c r="IV899" s="2"/>
      <c r="IW899" s="2"/>
      <c r="IX899" s="2"/>
      <c r="IY899" s="2"/>
      <c r="IZ899" s="2"/>
      <c r="JA899" s="2"/>
      <c r="JB899" s="2"/>
      <c r="J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I900" s="209"/>
      <c r="J900" s="210"/>
      <c r="K900" s="209"/>
      <c r="L900" s="209"/>
      <c r="N900" s="2"/>
      <c r="O900" s="2"/>
      <c r="P900" s="2"/>
      <c r="Q900" s="2"/>
      <c r="R900" s="2"/>
      <c r="S900" s="2"/>
      <c r="T900" s="10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IU900" s="2"/>
      <c r="IV900" s="2"/>
      <c r="IW900" s="2"/>
      <c r="IX900" s="2"/>
      <c r="IY900" s="2"/>
      <c r="IZ900" s="2"/>
      <c r="JA900" s="2"/>
      <c r="JB900" s="2"/>
      <c r="J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I901" s="5"/>
      <c r="J901" s="211"/>
      <c r="K901" s="5"/>
      <c r="L901" s="5"/>
      <c r="N901" s="2"/>
      <c r="O901" s="2"/>
      <c r="P901" s="2"/>
      <c r="Q901" s="2"/>
      <c r="R901" s="2"/>
      <c r="S901" s="2"/>
      <c r="T901" s="10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IU901" s="2"/>
      <c r="IV901" s="2"/>
      <c r="IW901" s="2"/>
      <c r="IX901" s="2"/>
      <c r="IY901" s="2"/>
      <c r="IZ901" s="2"/>
      <c r="JA901" s="2"/>
      <c r="JB901" s="2"/>
      <c r="J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I902" s="209"/>
      <c r="J902" s="210"/>
      <c r="K902" s="209"/>
      <c r="L902" s="209"/>
      <c r="N902" s="2"/>
      <c r="O902" s="2"/>
      <c r="P902" s="2"/>
      <c r="Q902" s="2"/>
      <c r="R902" s="2"/>
      <c r="S902" s="2"/>
      <c r="T902" s="10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IU902" s="2"/>
      <c r="IV902" s="2"/>
      <c r="IW902" s="2"/>
      <c r="IX902" s="2"/>
      <c r="IY902" s="2"/>
      <c r="IZ902" s="2"/>
      <c r="JA902" s="2"/>
      <c r="JB902" s="2"/>
      <c r="J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I903" s="5"/>
      <c r="J903" s="211"/>
      <c r="K903" s="5"/>
      <c r="L903" s="5"/>
      <c r="N903" s="2"/>
      <c r="O903" s="2"/>
      <c r="P903" s="2"/>
      <c r="Q903" s="2"/>
      <c r="R903" s="2"/>
      <c r="S903" s="2"/>
      <c r="T903" s="10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IU903" s="2"/>
      <c r="IV903" s="2"/>
      <c r="IW903" s="2"/>
      <c r="IX903" s="2"/>
      <c r="IY903" s="2"/>
      <c r="IZ903" s="2"/>
      <c r="JA903" s="2"/>
      <c r="JB903" s="2"/>
      <c r="J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I904" s="209"/>
      <c r="J904" s="210"/>
      <c r="K904" s="209"/>
      <c r="L904" s="209"/>
      <c r="N904" s="2"/>
      <c r="O904" s="2"/>
      <c r="P904" s="2"/>
      <c r="Q904" s="2"/>
      <c r="R904" s="2"/>
      <c r="S904" s="2"/>
      <c r="T904" s="10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IU904" s="2"/>
      <c r="IV904" s="2"/>
      <c r="IW904" s="2"/>
      <c r="IX904" s="2"/>
      <c r="IY904" s="2"/>
      <c r="IZ904" s="2"/>
      <c r="JA904" s="2"/>
      <c r="JB904" s="2"/>
      <c r="J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I905" s="5"/>
      <c r="J905" s="211"/>
      <c r="K905" s="5"/>
      <c r="L905" s="5"/>
      <c r="N905" s="2"/>
      <c r="O905" s="2"/>
      <c r="P905" s="2"/>
      <c r="Q905" s="2"/>
      <c r="R905" s="2"/>
      <c r="S905" s="2"/>
      <c r="T905" s="10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IU905" s="2"/>
      <c r="IV905" s="2"/>
      <c r="IW905" s="2"/>
      <c r="IX905" s="2"/>
      <c r="IY905" s="2"/>
      <c r="IZ905" s="2"/>
      <c r="JA905" s="2"/>
      <c r="JB905" s="2"/>
      <c r="J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I906" s="209"/>
      <c r="J906" s="210"/>
      <c r="K906" s="209"/>
      <c r="L906" s="209"/>
      <c r="N906" s="2"/>
      <c r="O906" s="2"/>
      <c r="P906" s="2"/>
      <c r="Q906" s="2"/>
      <c r="R906" s="2"/>
      <c r="S906" s="2"/>
      <c r="T906" s="10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IU906" s="2"/>
      <c r="IV906" s="2"/>
      <c r="IW906" s="2"/>
      <c r="IX906" s="2"/>
      <c r="IY906" s="2"/>
      <c r="IZ906" s="2"/>
      <c r="JA906" s="2"/>
      <c r="JB906" s="2"/>
      <c r="J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I907" s="5"/>
      <c r="J907" s="211"/>
      <c r="K907" s="5"/>
      <c r="L907" s="5"/>
      <c r="N907" s="2"/>
      <c r="O907" s="2"/>
      <c r="P907" s="2"/>
      <c r="Q907" s="2"/>
      <c r="R907" s="2"/>
      <c r="S907" s="2"/>
      <c r="T907" s="10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IU907" s="2"/>
      <c r="IV907" s="2"/>
      <c r="IW907" s="2"/>
      <c r="IX907" s="2"/>
      <c r="IY907" s="2"/>
      <c r="IZ907" s="2"/>
      <c r="JA907" s="2"/>
      <c r="JB907" s="2"/>
      <c r="J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I908" s="209"/>
      <c r="J908" s="210"/>
      <c r="K908" s="209"/>
      <c r="L908" s="209"/>
      <c r="N908" s="2"/>
      <c r="O908" s="2"/>
      <c r="P908" s="2"/>
      <c r="Q908" s="2"/>
      <c r="R908" s="2"/>
      <c r="S908" s="2"/>
      <c r="T908" s="10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IU908" s="2"/>
      <c r="IV908" s="2"/>
      <c r="IW908" s="2"/>
      <c r="IX908" s="2"/>
      <c r="IY908" s="2"/>
      <c r="IZ908" s="2"/>
      <c r="JA908" s="2"/>
      <c r="JB908" s="2"/>
      <c r="J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I909" s="5"/>
      <c r="J909" s="211"/>
      <c r="K909" s="5"/>
      <c r="L909" s="5"/>
      <c r="N909" s="2"/>
      <c r="O909" s="2"/>
      <c r="P909" s="2"/>
      <c r="Q909" s="2"/>
      <c r="R909" s="2"/>
      <c r="S909" s="2"/>
      <c r="T909" s="10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IU909" s="2"/>
      <c r="IV909" s="2"/>
      <c r="IW909" s="2"/>
      <c r="IX909" s="2"/>
      <c r="IY909" s="2"/>
      <c r="IZ909" s="2"/>
      <c r="JA909" s="2"/>
      <c r="JB909" s="2"/>
      <c r="J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I910" s="209"/>
      <c r="J910" s="210"/>
      <c r="K910" s="209"/>
      <c r="L910" s="209"/>
      <c r="N910" s="2"/>
      <c r="O910" s="2"/>
      <c r="P910" s="2"/>
      <c r="Q910" s="2"/>
      <c r="R910" s="2"/>
      <c r="S910" s="2"/>
      <c r="T910" s="10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IU910" s="2"/>
      <c r="IV910" s="2"/>
      <c r="IW910" s="2"/>
      <c r="IX910" s="2"/>
      <c r="IY910" s="2"/>
      <c r="IZ910" s="2"/>
      <c r="JA910" s="2"/>
      <c r="JB910" s="2"/>
      <c r="J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I911" s="5"/>
      <c r="J911" s="211"/>
      <c r="K911" s="5"/>
      <c r="L911" s="5"/>
      <c r="N911" s="2"/>
      <c r="O911" s="2"/>
      <c r="P911" s="2"/>
      <c r="Q911" s="2"/>
      <c r="R911" s="2"/>
      <c r="S911" s="2"/>
      <c r="T911" s="10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IU911" s="2"/>
      <c r="IV911" s="2"/>
      <c r="IW911" s="2"/>
      <c r="IX911" s="2"/>
      <c r="IY911" s="2"/>
      <c r="IZ911" s="2"/>
      <c r="JA911" s="2"/>
      <c r="JB911" s="2"/>
      <c r="J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I912" s="209"/>
      <c r="J912" s="210"/>
      <c r="K912" s="209"/>
      <c r="L912" s="209"/>
      <c r="N912" s="2"/>
      <c r="O912" s="2"/>
      <c r="P912" s="2"/>
      <c r="Q912" s="2"/>
      <c r="R912" s="2"/>
      <c r="S912" s="2"/>
      <c r="T912" s="10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IU912" s="2"/>
      <c r="IV912" s="2"/>
      <c r="IW912" s="2"/>
      <c r="IX912" s="2"/>
      <c r="IY912" s="2"/>
      <c r="IZ912" s="2"/>
      <c r="JA912" s="2"/>
      <c r="JB912" s="2"/>
      <c r="J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I913" s="5"/>
      <c r="J913" s="211"/>
      <c r="K913" s="5"/>
      <c r="L913" s="5"/>
      <c r="N913" s="2"/>
      <c r="O913" s="2"/>
      <c r="P913" s="2"/>
      <c r="Q913" s="2"/>
      <c r="R913" s="2"/>
      <c r="S913" s="2"/>
      <c r="T913" s="10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IU913" s="2"/>
      <c r="IV913" s="2"/>
      <c r="IW913" s="2"/>
      <c r="IX913" s="2"/>
      <c r="IY913" s="2"/>
      <c r="IZ913" s="2"/>
      <c r="JA913" s="2"/>
      <c r="JB913" s="2"/>
      <c r="J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I914" s="209"/>
      <c r="J914" s="210"/>
      <c r="K914" s="209"/>
      <c r="L914" s="209"/>
      <c r="N914" s="2"/>
      <c r="O914" s="2"/>
      <c r="P914" s="2"/>
      <c r="Q914" s="2"/>
      <c r="R914" s="2"/>
      <c r="S914" s="2"/>
      <c r="T914" s="10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IU914" s="2"/>
      <c r="IV914" s="2"/>
      <c r="IW914" s="2"/>
      <c r="IX914" s="2"/>
      <c r="IY914" s="2"/>
      <c r="IZ914" s="2"/>
      <c r="JA914" s="2"/>
      <c r="JB914" s="2"/>
      <c r="J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I915" s="5"/>
      <c r="J915" s="211"/>
      <c r="K915" s="5"/>
      <c r="L915" s="5"/>
      <c r="N915" s="2"/>
      <c r="O915" s="2"/>
      <c r="P915" s="2"/>
      <c r="Q915" s="2"/>
      <c r="R915" s="2"/>
      <c r="S915" s="2"/>
      <c r="T915" s="10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IU915" s="2"/>
      <c r="IV915" s="2"/>
      <c r="IW915" s="2"/>
      <c r="IX915" s="2"/>
      <c r="IY915" s="2"/>
      <c r="IZ915" s="2"/>
      <c r="JA915" s="2"/>
      <c r="JB915" s="2"/>
      <c r="J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I916" s="209"/>
      <c r="J916" s="210"/>
      <c r="K916" s="209"/>
      <c r="L916" s="209"/>
      <c r="N916" s="2"/>
      <c r="O916" s="2"/>
      <c r="P916" s="2"/>
      <c r="Q916" s="2"/>
      <c r="R916" s="2"/>
      <c r="S916" s="2"/>
      <c r="T916" s="10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IU916" s="2"/>
      <c r="IV916" s="2"/>
      <c r="IW916" s="2"/>
      <c r="IX916" s="2"/>
      <c r="IY916" s="2"/>
      <c r="IZ916" s="2"/>
      <c r="JA916" s="2"/>
      <c r="JB916" s="2"/>
      <c r="J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I917" s="5"/>
      <c r="J917" s="211"/>
      <c r="K917" s="5"/>
      <c r="L917" s="5"/>
      <c r="N917" s="2"/>
      <c r="O917" s="2"/>
      <c r="P917" s="2"/>
      <c r="Q917" s="2"/>
      <c r="R917" s="2"/>
      <c r="S917" s="2"/>
      <c r="T917" s="10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IU917" s="2"/>
      <c r="IV917" s="2"/>
      <c r="IW917" s="2"/>
      <c r="IX917" s="2"/>
      <c r="IY917" s="2"/>
      <c r="IZ917" s="2"/>
      <c r="JA917" s="2"/>
      <c r="JB917" s="2"/>
      <c r="J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I918" s="209"/>
      <c r="J918" s="210"/>
      <c r="K918" s="209"/>
      <c r="L918" s="209"/>
      <c r="N918" s="2"/>
      <c r="O918" s="2"/>
      <c r="P918" s="2"/>
      <c r="Q918" s="2"/>
      <c r="R918" s="2"/>
      <c r="S918" s="2"/>
      <c r="T918" s="10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IU918" s="2"/>
      <c r="IV918" s="2"/>
      <c r="IW918" s="2"/>
      <c r="IX918" s="2"/>
      <c r="IY918" s="2"/>
      <c r="IZ918" s="2"/>
      <c r="JA918" s="2"/>
      <c r="JB918" s="2"/>
      <c r="J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I919" s="5"/>
      <c r="J919" s="211"/>
      <c r="K919" s="5"/>
      <c r="L919" s="5"/>
      <c r="N919" s="2"/>
      <c r="O919" s="2"/>
      <c r="P919" s="2"/>
      <c r="Q919" s="2"/>
      <c r="R919" s="2"/>
      <c r="S919" s="2"/>
      <c r="T919" s="10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IU919" s="2"/>
      <c r="IV919" s="2"/>
      <c r="IW919" s="2"/>
      <c r="IX919" s="2"/>
      <c r="IY919" s="2"/>
      <c r="IZ919" s="2"/>
      <c r="JA919" s="2"/>
      <c r="JB919" s="2"/>
      <c r="J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I920" s="209"/>
      <c r="J920" s="210"/>
      <c r="K920" s="209"/>
      <c r="L920" s="209"/>
      <c r="N920" s="2"/>
      <c r="O920" s="2"/>
      <c r="P920" s="2"/>
      <c r="Q920" s="2"/>
      <c r="R920" s="2"/>
      <c r="S920" s="2"/>
      <c r="T920" s="10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IU920" s="2"/>
      <c r="IV920" s="2"/>
      <c r="IW920" s="2"/>
      <c r="IX920" s="2"/>
      <c r="IY920" s="2"/>
      <c r="IZ920" s="2"/>
      <c r="JA920" s="2"/>
      <c r="JB920" s="2"/>
      <c r="J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I921" s="5"/>
      <c r="J921" s="211"/>
      <c r="K921" s="5"/>
      <c r="L921" s="5"/>
      <c r="N921" s="2"/>
      <c r="O921" s="2"/>
      <c r="P921" s="2"/>
      <c r="Q921" s="2"/>
      <c r="R921" s="2"/>
      <c r="S921" s="2"/>
      <c r="T921" s="10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IU921" s="2"/>
      <c r="IV921" s="2"/>
      <c r="IW921" s="2"/>
      <c r="IX921" s="2"/>
      <c r="IY921" s="2"/>
      <c r="IZ921" s="2"/>
      <c r="JA921" s="2"/>
      <c r="JB921" s="2"/>
      <c r="J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I922" s="209"/>
      <c r="J922" s="210"/>
      <c r="K922" s="209"/>
      <c r="L922" s="209"/>
      <c r="N922" s="2"/>
      <c r="O922" s="2"/>
      <c r="P922" s="2"/>
      <c r="Q922" s="2"/>
      <c r="R922" s="2"/>
      <c r="S922" s="2"/>
      <c r="T922" s="10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IU922" s="2"/>
      <c r="IV922" s="2"/>
      <c r="IW922" s="2"/>
      <c r="IX922" s="2"/>
      <c r="IY922" s="2"/>
      <c r="IZ922" s="2"/>
      <c r="JA922" s="2"/>
      <c r="JB922" s="2"/>
      <c r="J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I923" s="5"/>
      <c r="J923" s="211"/>
      <c r="K923" s="5"/>
      <c r="L923" s="5"/>
      <c r="N923" s="2"/>
      <c r="O923" s="2"/>
      <c r="P923" s="2"/>
      <c r="Q923" s="2"/>
      <c r="R923" s="2"/>
      <c r="S923" s="2"/>
      <c r="T923" s="10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IU923" s="2"/>
      <c r="IV923" s="2"/>
      <c r="IW923" s="2"/>
      <c r="IX923" s="2"/>
      <c r="IY923" s="2"/>
      <c r="IZ923" s="2"/>
      <c r="JA923" s="2"/>
      <c r="JB923" s="2"/>
      <c r="J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I924" s="209"/>
      <c r="J924" s="210"/>
      <c r="K924" s="209"/>
      <c r="L924" s="209"/>
      <c r="N924" s="2"/>
      <c r="O924" s="2"/>
      <c r="P924" s="2"/>
      <c r="Q924" s="2"/>
      <c r="R924" s="2"/>
      <c r="S924" s="2"/>
      <c r="T924" s="10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IU924" s="2"/>
      <c r="IV924" s="2"/>
      <c r="IW924" s="2"/>
      <c r="IX924" s="2"/>
      <c r="IY924" s="2"/>
      <c r="IZ924" s="2"/>
      <c r="JA924" s="2"/>
      <c r="JB924" s="2"/>
      <c r="J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I925" s="5"/>
      <c r="J925" s="211"/>
      <c r="K925" s="5"/>
      <c r="L925" s="5"/>
      <c r="N925" s="2"/>
      <c r="O925" s="2"/>
      <c r="P925" s="2"/>
      <c r="Q925" s="2"/>
      <c r="R925" s="2"/>
      <c r="S925" s="2"/>
      <c r="T925" s="10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IU925" s="2"/>
      <c r="IV925" s="2"/>
      <c r="IW925" s="2"/>
      <c r="IX925" s="2"/>
      <c r="IY925" s="2"/>
      <c r="IZ925" s="2"/>
      <c r="JA925" s="2"/>
      <c r="JB925" s="2"/>
      <c r="J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I926" s="209"/>
      <c r="J926" s="210"/>
      <c r="K926" s="209"/>
      <c r="L926" s="209"/>
      <c r="N926" s="2"/>
      <c r="O926" s="2"/>
      <c r="P926" s="2"/>
      <c r="Q926" s="2"/>
      <c r="R926" s="2"/>
      <c r="S926" s="2"/>
      <c r="T926" s="10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IU926" s="2"/>
      <c r="IV926" s="2"/>
      <c r="IW926" s="2"/>
      <c r="IX926" s="2"/>
      <c r="IY926" s="2"/>
      <c r="IZ926" s="2"/>
      <c r="JA926" s="2"/>
      <c r="JB926" s="2"/>
      <c r="J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I927" s="5"/>
      <c r="J927" s="211"/>
      <c r="K927" s="5"/>
      <c r="L927" s="5"/>
      <c r="N927" s="2"/>
      <c r="O927" s="2"/>
      <c r="P927" s="2"/>
      <c r="Q927" s="2"/>
      <c r="R927" s="2"/>
      <c r="S927" s="2"/>
      <c r="T927" s="10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IU927" s="2"/>
      <c r="IV927" s="2"/>
      <c r="IW927" s="2"/>
      <c r="IX927" s="2"/>
      <c r="IY927" s="2"/>
      <c r="IZ927" s="2"/>
      <c r="JA927" s="2"/>
      <c r="JB927" s="2"/>
      <c r="J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I928" s="209"/>
      <c r="J928" s="210"/>
      <c r="K928" s="209"/>
      <c r="L928" s="209"/>
      <c r="N928" s="2"/>
      <c r="O928" s="2"/>
      <c r="P928" s="2"/>
      <c r="Q928" s="2"/>
      <c r="R928" s="2"/>
      <c r="S928" s="2"/>
      <c r="T928" s="10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IU928" s="2"/>
      <c r="IV928" s="2"/>
      <c r="IW928" s="2"/>
      <c r="IX928" s="2"/>
      <c r="IY928" s="2"/>
      <c r="IZ928" s="2"/>
      <c r="JA928" s="2"/>
      <c r="JB928" s="2"/>
      <c r="J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I929" s="5"/>
      <c r="J929" s="211"/>
      <c r="K929" s="5"/>
      <c r="L929" s="5"/>
      <c r="N929" s="2"/>
      <c r="O929" s="2"/>
      <c r="P929" s="2"/>
      <c r="Q929" s="2"/>
      <c r="R929" s="2"/>
      <c r="S929" s="2"/>
      <c r="T929" s="10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IU929" s="2"/>
      <c r="IV929" s="2"/>
      <c r="IW929" s="2"/>
      <c r="IX929" s="2"/>
      <c r="IY929" s="2"/>
      <c r="IZ929" s="2"/>
      <c r="JA929" s="2"/>
      <c r="JB929" s="2"/>
      <c r="J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I930" s="209"/>
      <c r="J930" s="210"/>
      <c r="K930" s="209"/>
      <c r="L930" s="209"/>
      <c r="N930" s="2"/>
      <c r="O930" s="2"/>
      <c r="P930" s="2"/>
      <c r="Q930" s="2"/>
      <c r="R930" s="2"/>
      <c r="S930" s="2"/>
      <c r="T930" s="10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IU930" s="2"/>
      <c r="IV930" s="2"/>
      <c r="IW930" s="2"/>
      <c r="IX930" s="2"/>
      <c r="IY930" s="2"/>
      <c r="IZ930" s="2"/>
      <c r="JA930" s="2"/>
      <c r="JB930" s="2"/>
      <c r="J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I931" s="5"/>
      <c r="J931" s="211"/>
      <c r="K931" s="5"/>
      <c r="L931" s="5"/>
      <c r="N931" s="2"/>
      <c r="O931" s="2"/>
      <c r="P931" s="2"/>
      <c r="Q931" s="2"/>
      <c r="R931" s="2"/>
      <c r="S931" s="2"/>
      <c r="T931" s="10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IU931" s="2"/>
      <c r="IV931" s="2"/>
      <c r="IW931" s="2"/>
      <c r="IX931" s="2"/>
      <c r="IY931" s="2"/>
      <c r="IZ931" s="2"/>
      <c r="JA931" s="2"/>
      <c r="JB931" s="2"/>
      <c r="J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I932" s="209"/>
      <c r="J932" s="210"/>
      <c r="K932" s="209"/>
      <c r="L932" s="209"/>
      <c r="N932" s="2"/>
      <c r="O932" s="2"/>
      <c r="P932" s="2"/>
      <c r="Q932" s="2"/>
      <c r="R932" s="2"/>
      <c r="S932" s="2"/>
      <c r="T932" s="10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IU932" s="2"/>
      <c r="IV932" s="2"/>
      <c r="IW932" s="2"/>
      <c r="IX932" s="2"/>
      <c r="IY932" s="2"/>
      <c r="IZ932" s="2"/>
      <c r="JA932" s="2"/>
      <c r="JB932" s="2"/>
      <c r="J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I933" s="5"/>
      <c r="J933" s="211"/>
      <c r="K933" s="5"/>
      <c r="L933" s="5"/>
      <c r="N933" s="2"/>
      <c r="O933" s="2"/>
      <c r="P933" s="2"/>
      <c r="Q933" s="2"/>
      <c r="R933" s="2"/>
      <c r="S933" s="2"/>
      <c r="T933" s="10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IU933" s="2"/>
      <c r="IV933" s="2"/>
      <c r="IW933" s="2"/>
      <c r="IX933" s="2"/>
      <c r="IY933" s="2"/>
      <c r="IZ933" s="2"/>
      <c r="JA933" s="2"/>
      <c r="JB933" s="2"/>
      <c r="J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I934" s="209"/>
      <c r="J934" s="210"/>
      <c r="K934" s="209"/>
      <c r="L934" s="209"/>
      <c r="N934" s="2"/>
      <c r="O934" s="2"/>
      <c r="P934" s="2"/>
      <c r="Q934" s="2"/>
      <c r="R934" s="2"/>
      <c r="S934" s="2"/>
      <c r="T934" s="10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IU934" s="2"/>
      <c r="IV934" s="2"/>
      <c r="IW934" s="2"/>
      <c r="IX934" s="2"/>
      <c r="IY934" s="2"/>
      <c r="IZ934" s="2"/>
      <c r="JA934" s="2"/>
      <c r="JB934" s="2"/>
      <c r="J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I935" s="5"/>
      <c r="J935" s="211"/>
      <c r="K935" s="5"/>
      <c r="L935" s="5"/>
      <c r="N935" s="2"/>
      <c r="O935" s="2"/>
      <c r="P935" s="2"/>
      <c r="Q935" s="2"/>
      <c r="R935" s="2"/>
      <c r="S935" s="2"/>
      <c r="T935" s="10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IU935" s="2"/>
      <c r="IV935" s="2"/>
      <c r="IW935" s="2"/>
      <c r="IX935" s="2"/>
      <c r="IY935" s="2"/>
      <c r="IZ935" s="2"/>
      <c r="JA935" s="2"/>
      <c r="JB935" s="2"/>
      <c r="J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I936" s="209"/>
      <c r="J936" s="210"/>
      <c r="K936" s="209"/>
      <c r="L936" s="209"/>
      <c r="N936" s="2"/>
      <c r="O936" s="2"/>
      <c r="P936" s="2"/>
      <c r="Q936" s="2"/>
      <c r="R936" s="2"/>
      <c r="S936" s="2"/>
      <c r="T936" s="10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IU936" s="2"/>
      <c r="IV936" s="2"/>
      <c r="IW936" s="2"/>
      <c r="IX936" s="2"/>
      <c r="IY936" s="2"/>
      <c r="IZ936" s="2"/>
      <c r="JA936" s="2"/>
      <c r="JB936" s="2"/>
      <c r="J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I937" s="5"/>
      <c r="J937" s="211"/>
      <c r="K937" s="5"/>
      <c r="L937" s="5"/>
      <c r="N937" s="2"/>
      <c r="O937" s="2"/>
      <c r="P937" s="2"/>
      <c r="Q937" s="2"/>
      <c r="R937" s="2"/>
      <c r="S937" s="2"/>
      <c r="T937" s="10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IU937" s="2"/>
      <c r="IV937" s="2"/>
      <c r="IW937" s="2"/>
      <c r="IX937" s="2"/>
      <c r="IY937" s="2"/>
      <c r="IZ937" s="2"/>
      <c r="JA937" s="2"/>
      <c r="JB937" s="2"/>
      <c r="J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I938" s="209"/>
      <c r="J938" s="210"/>
      <c r="K938" s="209"/>
      <c r="L938" s="209"/>
      <c r="N938" s="2"/>
      <c r="O938" s="2"/>
      <c r="P938" s="2"/>
      <c r="Q938" s="2"/>
      <c r="R938" s="2"/>
      <c r="S938" s="2"/>
      <c r="T938" s="10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IU938" s="2"/>
      <c r="IV938" s="2"/>
      <c r="IW938" s="2"/>
      <c r="IX938" s="2"/>
      <c r="IY938" s="2"/>
      <c r="IZ938" s="2"/>
      <c r="JA938" s="2"/>
      <c r="JB938" s="2"/>
      <c r="J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I939" s="5"/>
      <c r="J939" s="211"/>
      <c r="K939" s="5"/>
      <c r="L939" s="5"/>
      <c r="N939" s="2"/>
      <c r="O939" s="2"/>
      <c r="P939" s="2"/>
      <c r="Q939" s="2"/>
      <c r="R939" s="2"/>
      <c r="S939" s="2"/>
      <c r="T939" s="10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IU939" s="2"/>
      <c r="IV939" s="2"/>
      <c r="IW939" s="2"/>
      <c r="IX939" s="2"/>
      <c r="IY939" s="2"/>
      <c r="IZ939" s="2"/>
      <c r="JA939" s="2"/>
      <c r="JB939" s="2"/>
      <c r="J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I940" s="209"/>
      <c r="J940" s="210"/>
      <c r="K940" s="209"/>
      <c r="L940" s="209"/>
      <c r="N940" s="2"/>
      <c r="O940" s="2"/>
      <c r="P940" s="2"/>
      <c r="Q940" s="2"/>
      <c r="R940" s="2"/>
      <c r="S940" s="2"/>
      <c r="T940" s="10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IU940" s="2"/>
      <c r="IV940" s="2"/>
      <c r="IW940" s="2"/>
      <c r="IX940" s="2"/>
      <c r="IY940" s="2"/>
      <c r="IZ940" s="2"/>
      <c r="JA940" s="2"/>
      <c r="JB940" s="2"/>
      <c r="J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I941" s="5"/>
      <c r="J941" s="211"/>
      <c r="K941" s="5"/>
      <c r="L941" s="5"/>
      <c r="N941" s="2"/>
      <c r="O941" s="2"/>
      <c r="P941" s="2"/>
      <c r="Q941" s="2"/>
      <c r="R941" s="2"/>
      <c r="S941" s="2"/>
      <c r="T941" s="10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IU941" s="2"/>
      <c r="IV941" s="2"/>
      <c r="IW941" s="2"/>
      <c r="IX941" s="2"/>
      <c r="IY941" s="2"/>
      <c r="IZ941" s="2"/>
      <c r="JA941" s="2"/>
      <c r="JB941" s="2"/>
      <c r="J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I942" s="209"/>
      <c r="J942" s="210"/>
      <c r="K942" s="209"/>
      <c r="L942" s="209"/>
      <c r="N942" s="2"/>
      <c r="O942" s="2"/>
      <c r="P942" s="2"/>
      <c r="Q942" s="2"/>
      <c r="R942" s="2"/>
      <c r="S942" s="2"/>
      <c r="T942" s="10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IU942" s="2"/>
      <c r="IV942" s="2"/>
      <c r="IW942" s="2"/>
      <c r="IX942" s="2"/>
      <c r="IY942" s="2"/>
      <c r="IZ942" s="2"/>
      <c r="JA942" s="2"/>
      <c r="JB942" s="2"/>
      <c r="J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I943" s="5"/>
      <c r="J943" s="211"/>
      <c r="K943" s="5"/>
      <c r="L943" s="5"/>
      <c r="N943" s="2"/>
      <c r="O943" s="2"/>
      <c r="P943" s="2"/>
      <c r="Q943" s="2"/>
      <c r="R943" s="2"/>
      <c r="S943" s="2"/>
      <c r="T943" s="10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IU943" s="2"/>
      <c r="IV943" s="2"/>
      <c r="IW943" s="2"/>
      <c r="IX943" s="2"/>
      <c r="IY943" s="2"/>
      <c r="IZ943" s="2"/>
      <c r="JA943" s="2"/>
      <c r="JB943" s="2"/>
      <c r="J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I944" s="209"/>
      <c r="J944" s="210"/>
      <c r="K944" s="209"/>
      <c r="L944" s="209"/>
      <c r="N944" s="2"/>
      <c r="O944" s="2"/>
      <c r="P944" s="2"/>
      <c r="Q944" s="2"/>
      <c r="R944" s="2"/>
      <c r="S944" s="2"/>
      <c r="T944" s="10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IU944" s="2"/>
      <c r="IV944" s="2"/>
      <c r="IW944" s="2"/>
      <c r="IX944" s="2"/>
      <c r="IY944" s="2"/>
      <c r="IZ944" s="2"/>
      <c r="JA944" s="2"/>
      <c r="JB944" s="2"/>
      <c r="J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I945" s="5"/>
      <c r="J945" s="211"/>
      <c r="K945" s="5"/>
      <c r="L945" s="5"/>
      <c r="N945" s="2"/>
      <c r="O945" s="2"/>
      <c r="P945" s="2"/>
      <c r="Q945" s="2"/>
      <c r="R945" s="2"/>
      <c r="S945" s="2"/>
      <c r="T945" s="10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IU945" s="2"/>
      <c r="IV945" s="2"/>
      <c r="IW945" s="2"/>
      <c r="IX945" s="2"/>
      <c r="IY945" s="2"/>
      <c r="IZ945" s="2"/>
      <c r="JA945" s="2"/>
      <c r="JB945" s="2"/>
      <c r="J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I946" s="209"/>
      <c r="J946" s="210"/>
      <c r="K946" s="209"/>
      <c r="L946" s="209"/>
      <c r="N946" s="2"/>
      <c r="O946" s="2"/>
      <c r="P946" s="2"/>
      <c r="Q946" s="2"/>
      <c r="R946" s="2"/>
      <c r="S946" s="2"/>
      <c r="T946" s="10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IU946" s="2"/>
      <c r="IV946" s="2"/>
      <c r="IW946" s="2"/>
      <c r="IX946" s="2"/>
      <c r="IY946" s="2"/>
      <c r="IZ946" s="2"/>
      <c r="JA946" s="2"/>
      <c r="JB946" s="2"/>
      <c r="J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I947" s="5"/>
      <c r="J947" s="211"/>
      <c r="K947" s="5"/>
      <c r="L947" s="5"/>
      <c r="N947" s="2"/>
      <c r="O947" s="2"/>
      <c r="P947" s="2"/>
      <c r="Q947" s="2"/>
      <c r="R947" s="2"/>
      <c r="S947" s="2"/>
      <c r="T947" s="10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IU947" s="2"/>
      <c r="IV947" s="2"/>
      <c r="IW947" s="2"/>
      <c r="IX947" s="2"/>
      <c r="IY947" s="2"/>
      <c r="IZ947" s="2"/>
      <c r="JA947" s="2"/>
      <c r="JB947" s="2"/>
      <c r="J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I948" s="209"/>
      <c r="J948" s="210"/>
      <c r="K948" s="209"/>
      <c r="L948" s="209"/>
      <c r="N948" s="2"/>
      <c r="O948" s="2"/>
      <c r="P948" s="2"/>
      <c r="Q948" s="2"/>
      <c r="R948" s="2"/>
      <c r="S948" s="2"/>
      <c r="T948" s="10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IU948" s="2"/>
      <c r="IV948" s="2"/>
      <c r="IW948" s="2"/>
      <c r="IX948" s="2"/>
      <c r="IY948" s="2"/>
      <c r="IZ948" s="2"/>
      <c r="JA948" s="2"/>
      <c r="JB948" s="2"/>
      <c r="J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I949" s="5"/>
      <c r="J949" s="211"/>
      <c r="K949" s="5"/>
      <c r="L949" s="5"/>
      <c r="N949" s="2"/>
      <c r="O949" s="2"/>
      <c r="P949" s="2"/>
      <c r="Q949" s="2"/>
      <c r="R949" s="2"/>
      <c r="S949" s="2"/>
      <c r="T949" s="10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IU949" s="2"/>
      <c r="IV949" s="2"/>
      <c r="IW949" s="2"/>
      <c r="IX949" s="2"/>
      <c r="IY949" s="2"/>
      <c r="IZ949" s="2"/>
      <c r="JA949" s="2"/>
      <c r="JB949" s="2"/>
      <c r="J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I950" s="209"/>
      <c r="J950" s="210"/>
      <c r="K950" s="209"/>
      <c r="L950" s="209"/>
      <c r="N950" s="2"/>
      <c r="O950" s="2"/>
      <c r="P950" s="2"/>
      <c r="Q950" s="2"/>
      <c r="R950" s="2"/>
      <c r="S950" s="2"/>
      <c r="T950" s="10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IU950" s="2"/>
      <c r="IV950" s="2"/>
      <c r="IW950" s="2"/>
      <c r="IX950" s="2"/>
      <c r="IY950" s="2"/>
      <c r="IZ950" s="2"/>
      <c r="JA950" s="2"/>
      <c r="JB950" s="2"/>
      <c r="JC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I951" s="5"/>
      <c r="J951" s="211"/>
      <c r="K951" s="5"/>
      <c r="L951" s="5"/>
      <c r="N951" s="2"/>
      <c r="O951" s="2"/>
      <c r="P951" s="2"/>
      <c r="Q951" s="2"/>
      <c r="R951" s="2"/>
      <c r="S951" s="2"/>
      <c r="T951" s="10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IU951" s="2"/>
      <c r="IV951" s="2"/>
      <c r="IW951" s="2"/>
      <c r="IX951" s="2"/>
      <c r="IY951" s="2"/>
      <c r="IZ951" s="2"/>
      <c r="JA951" s="2"/>
      <c r="JB951" s="2"/>
      <c r="JC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I952" s="209"/>
      <c r="J952" s="210"/>
      <c r="K952" s="209"/>
      <c r="L952" s="209"/>
      <c r="N952" s="2"/>
      <c r="O952" s="2"/>
      <c r="P952" s="2"/>
      <c r="Q952" s="2"/>
      <c r="R952" s="2"/>
      <c r="S952" s="2"/>
      <c r="T952" s="10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IU952" s="2"/>
      <c r="IV952" s="2"/>
      <c r="IW952" s="2"/>
      <c r="IX952" s="2"/>
      <c r="IY952" s="2"/>
      <c r="IZ952" s="2"/>
      <c r="JA952" s="2"/>
      <c r="JB952" s="2"/>
      <c r="JC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I953" s="5"/>
      <c r="J953" s="211"/>
      <c r="K953" s="5"/>
      <c r="L953" s="5"/>
      <c r="N953" s="2"/>
      <c r="O953" s="2"/>
      <c r="P953" s="2"/>
      <c r="Q953" s="2"/>
      <c r="R953" s="2"/>
      <c r="S953" s="2"/>
      <c r="T953" s="10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IU953" s="2"/>
      <c r="IV953" s="2"/>
      <c r="IW953" s="2"/>
      <c r="IX953" s="2"/>
      <c r="IY953" s="2"/>
      <c r="IZ953" s="2"/>
      <c r="JA953" s="2"/>
      <c r="JB953" s="2"/>
      <c r="JC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I954" s="209"/>
      <c r="J954" s="210"/>
      <c r="K954" s="209"/>
      <c r="L954" s="209"/>
      <c r="N954" s="2"/>
      <c r="O954" s="2"/>
      <c r="P954" s="2"/>
      <c r="Q954" s="2"/>
      <c r="R954" s="2"/>
      <c r="S954" s="2"/>
      <c r="T954" s="10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IU954" s="2"/>
      <c r="IV954" s="2"/>
      <c r="IW954" s="2"/>
      <c r="IX954" s="2"/>
      <c r="IY954" s="2"/>
      <c r="IZ954" s="2"/>
      <c r="JA954" s="2"/>
      <c r="JB954" s="2"/>
      <c r="JC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I955" s="5"/>
      <c r="J955" s="211"/>
      <c r="K955" s="5"/>
      <c r="L955" s="5"/>
      <c r="N955" s="2"/>
      <c r="O955" s="2"/>
      <c r="P955" s="2"/>
      <c r="Q955" s="2"/>
      <c r="R955" s="2"/>
      <c r="S955" s="2"/>
      <c r="T955" s="10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IU955" s="2"/>
      <c r="IV955" s="2"/>
      <c r="IW955" s="2"/>
      <c r="IX955" s="2"/>
      <c r="IY955" s="2"/>
      <c r="IZ955" s="2"/>
      <c r="JA955" s="2"/>
      <c r="JB955" s="2"/>
      <c r="JC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I956" s="209"/>
      <c r="J956" s="210"/>
      <c r="K956" s="209"/>
      <c r="L956" s="209"/>
      <c r="N956" s="2"/>
      <c r="O956" s="2"/>
      <c r="P956" s="2"/>
      <c r="Q956" s="2"/>
      <c r="R956" s="2"/>
      <c r="S956" s="2"/>
      <c r="T956" s="10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IU956" s="2"/>
      <c r="IV956" s="2"/>
      <c r="IW956" s="2"/>
      <c r="IX956" s="2"/>
      <c r="IY956" s="2"/>
      <c r="IZ956" s="2"/>
      <c r="JA956" s="2"/>
      <c r="JB956" s="2"/>
      <c r="JC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I957" s="5"/>
      <c r="J957" s="211"/>
      <c r="K957" s="5"/>
      <c r="L957" s="5"/>
      <c r="N957" s="2"/>
      <c r="O957" s="2"/>
      <c r="P957" s="2"/>
      <c r="Q957" s="2"/>
      <c r="R957" s="2"/>
      <c r="S957" s="2"/>
      <c r="T957" s="10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IU957" s="2"/>
      <c r="IV957" s="2"/>
      <c r="IW957" s="2"/>
      <c r="IX957" s="2"/>
      <c r="IY957" s="2"/>
      <c r="IZ957" s="2"/>
      <c r="JA957" s="2"/>
      <c r="JB957" s="2"/>
      <c r="JC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I958" s="209"/>
      <c r="J958" s="210"/>
      <c r="K958" s="209"/>
      <c r="L958" s="209"/>
      <c r="N958" s="2"/>
      <c r="O958" s="2"/>
      <c r="P958" s="2"/>
      <c r="Q958" s="2"/>
      <c r="R958" s="2"/>
      <c r="S958" s="2"/>
      <c r="T958" s="10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IU958" s="2"/>
      <c r="IV958" s="2"/>
      <c r="IW958" s="2"/>
      <c r="IX958" s="2"/>
      <c r="IY958" s="2"/>
      <c r="IZ958" s="2"/>
      <c r="JA958" s="2"/>
      <c r="JB958" s="2"/>
      <c r="JC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I959" s="5"/>
      <c r="J959" s="211"/>
      <c r="K959" s="5"/>
      <c r="L959" s="5"/>
      <c r="N959" s="2"/>
      <c r="O959" s="2"/>
      <c r="P959" s="2"/>
      <c r="Q959" s="2"/>
      <c r="R959" s="2"/>
      <c r="S959" s="2"/>
      <c r="T959" s="10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IU959" s="2"/>
      <c r="IV959" s="2"/>
      <c r="IW959" s="2"/>
      <c r="IX959" s="2"/>
      <c r="IY959" s="2"/>
      <c r="IZ959" s="2"/>
      <c r="JA959" s="2"/>
      <c r="JB959" s="2"/>
      <c r="JC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I960" s="209"/>
      <c r="J960" s="210"/>
      <c r="K960" s="209"/>
      <c r="L960" s="209"/>
      <c r="N960" s="2"/>
      <c r="O960" s="2"/>
      <c r="P960" s="2"/>
      <c r="Q960" s="2"/>
      <c r="R960" s="2"/>
      <c r="S960" s="2"/>
      <c r="T960" s="10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IU960" s="2"/>
      <c r="IV960" s="2"/>
      <c r="IW960" s="2"/>
      <c r="IX960" s="2"/>
      <c r="IY960" s="2"/>
      <c r="IZ960" s="2"/>
      <c r="JA960" s="2"/>
      <c r="JB960" s="2"/>
      <c r="JC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I961" s="5"/>
      <c r="J961" s="211"/>
      <c r="K961" s="5"/>
      <c r="L961" s="5"/>
      <c r="N961" s="2"/>
      <c r="O961" s="2"/>
      <c r="P961" s="2"/>
      <c r="Q961" s="2"/>
      <c r="R961" s="2"/>
      <c r="S961" s="2"/>
      <c r="T961" s="10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IU961" s="2"/>
      <c r="IV961" s="2"/>
      <c r="IW961" s="2"/>
      <c r="IX961" s="2"/>
      <c r="IY961" s="2"/>
      <c r="IZ961" s="2"/>
      <c r="JA961" s="2"/>
      <c r="JB961" s="2"/>
      <c r="JC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I962" s="209"/>
      <c r="J962" s="210"/>
      <c r="K962" s="209"/>
      <c r="L962" s="209"/>
      <c r="N962" s="2"/>
      <c r="O962" s="2"/>
      <c r="P962" s="2"/>
      <c r="Q962" s="2"/>
      <c r="R962" s="2"/>
      <c r="S962" s="2"/>
      <c r="T962" s="10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IU962" s="2"/>
      <c r="IV962" s="2"/>
      <c r="IW962" s="2"/>
      <c r="IX962" s="2"/>
      <c r="IY962" s="2"/>
      <c r="IZ962" s="2"/>
      <c r="JA962" s="2"/>
      <c r="JB962" s="2"/>
      <c r="JC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I963" s="5"/>
      <c r="J963" s="211"/>
      <c r="K963" s="5"/>
      <c r="L963" s="5"/>
      <c r="N963" s="2"/>
      <c r="O963" s="2"/>
      <c r="P963" s="2"/>
      <c r="Q963" s="2"/>
      <c r="R963" s="2"/>
      <c r="S963" s="2"/>
      <c r="T963" s="10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IU963" s="2"/>
      <c r="IV963" s="2"/>
      <c r="IW963" s="2"/>
      <c r="IX963" s="2"/>
      <c r="IY963" s="2"/>
      <c r="IZ963" s="2"/>
      <c r="JA963" s="2"/>
      <c r="JB963" s="2"/>
      <c r="JC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I964" s="209"/>
      <c r="J964" s="210"/>
      <c r="K964" s="209"/>
      <c r="L964" s="209"/>
      <c r="N964" s="2"/>
      <c r="O964" s="2"/>
      <c r="P964" s="2"/>
      <c r="Q964" s="2"/>
      <c r="R964" s="2"/>
      <c r="S964" s="2"/>
      <c r="T964" s="10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IU964" s="2"/>
      <c r="IV964" s="2"/>
      <c r="IW964" s="2"/>
      <c r="IX964" s="2"/>
      <c r="IY964" s="2"/>
      <c r="IZ964" s="2"/>
      <c r="JA964" s="2"/>
      <c r="JB964" s="2"/>
      <c r="JC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I965" s="5"/>
      <c r="J965" s="211"/>
      <c r="K965" s="5"/>
      <c r="L965" s="5"/>
      <c r="N965" s="2"/>
      <c r="O965" s="2"/>
      <c r="P965" s="2"/>
      <c r="Q965" s="2"/>
      <c r="R965" s="2"/>
      <c r="S965" s="2"/>
      <c r="T965" s="10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IU965" s="2"/>
      <c r="IV965" s="2"/>
      <c r="IW965" s="2"/>
      <c r="IX965" s="2"/>
      <c r="IY965" s="2"/>
      <c r="IZ965" s="2"/>
      <c r="JA965" s="2"/>
      <c r="JB965" s="2"/>
      <c r="JC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I966" s="209"/>
      <c r="J966" s="210"/>
      <c r="K966" s="209"/>
      <c r="L966" s="209"/>
      <c r="N966" s="2"/>
      <c r="O966" s="2"/>
      <c r="P966" s="2"/>
      <c r="Q966" s="2"/>
      <c r="R966" s="2"/>
      <c r="S966" s="2"/>
      <c r="T966" s="10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IU966" s="2"/>
      <c r="IV966" s="2"/>
      <c r="IW966" s="2"/>
      <c r="IX966" s="2"/>
      <c r="IY966" s="2"/>
      <c r="IZ966" s="2"/>
      <c r="JA966" s="2"/>
      <c r="JB966" s="2"/>
      <c r="JC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I967" s="5"/>
      <c r="J967" s="211"/>
      <c r="K967" s="5"/>
      <c r="L967" s="5"/>
      <c r="N967" s="2"/>
      <c r="O967" s="2"/>
      <c r="P967" s="2"/>
      <c r="Q967" s="2"/>
      <c r="R967" s="2"/>
      <c r="S967" s="2"/>
      <c r="T967" s="10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IU967" s="2"/>
      <c r="IV967" s="2"/>
      <c r="IW967" s="2"/>
      <c r="IX967" s="2"/>
      <c r="IY967" s="2"/>
      <c r="IZ967" s="2"/>
      <c r="JA967" s="2"/>
      <c r="JB967" s="2"/>
      <c r="JC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I968" s="209"/>
      <c r="J968" s="210"/>
      <c r="K968" s="209"/>
      <c r="L968" s="209"/>
      <c r="N968" s="2"/>
      <c r="O968" s="2"/>
      <c r="P968" s="2"/>
      <c r="Q968" s="2"/>
      <c r="R968" s="2"/>
      <c r="S968" s="2"/>
      <c r="T968" s="10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IU968" s="2"/>
      <c r="IV968" s="2"/>
      <c r="IW968" s="2"/>
      <c r="IX968" s="2"/>
      <c r="IY968" s="2"/>
      <c r="IZ968" s="2"/>
      <c r="JA968" s="2"/>
      <c r="JB968" s="2"/>
      <c r="JC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I969" s="5"/>
      <c r="J969" s="211"/>
      <c r="K969" s="5"/>
      <c r="L969" s="5"/>
      <c r="N969" s="2"/>
      <c r="O969" s="2"/>
      <c r="P969" s="2"/>
      <c r="Q969" s="2"/>
      <c r="R969" s="2"/>
      <c r="S969" s="2"/>
      <c r="T969" s="10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IU969" s="2"/>
      <c r="IV969" s="2"/>
      <c r="IW969" s="2"/>
      <c r="IX969" s="2"/>
      <c r="IY969" s="2"/>
      <c r="IZ969" s="2"/>
      <c r="JA969" s="2"/>
      <c r="JB969" s="2"/>
      <c r="JC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I970" s="209"/>
      <c r="J970" s="210"/>
      <c r="K970" s="209"/>
      <c r="L970" s="209"/>
      <c r="N970" s="2"/>
      <c r="O970" s="2"/>
      <c r="P970" s="2"/>
      <c r="Q970" s="2"/>
      <c r="R970" s="2"/>
      <c r="S970" s="2"/>
      <c r="T970" s="10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IU970" s="2"/>
      <c r="IV970" s="2"/>
      <c r="IW970" s="2"/>
      <c r="IX970" s="2"/>
      <c r="IY970" s="2"/>
      <c r="IZ970" s="2"/>
      <c r="JA970" s="2"/>
      <c r="JB970" s="2"/>
      <c r="JC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I971" s="5"/>
      <c r="J971" s="211"/>
      <c r="K971" s="5"/>
      <c r="L971" s="5"/>
      <c r="N971" s="2"/>
      <c r="O971" s="2"/>
      <c r="P971" s="2"/>
      <c r="Q971" s="2"/>
      <c r="R971" s="2"/>
      <c r="S971" s="2"/>
      <c r="T971" s="10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IU971" s="2"/>
      <c r="IV971" s="2"/>
      <c r="IW971" s="2"/>
      <c r="IX971" s="2"/>
      <c r="IY971" s="2"/>
      <c r="IZ971" s="2"/>
      <c r="JA971" s="2"/>
      <c r="JB971" s="2"/>
      <c r="JC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I972" s="209"/>
      <c r="J972" s="210"/>
      <c r="K972" s="209"/>
      <c r="L972" s="209"/>
      <c r="N972" s="2"/>
      <c r="O972" s="2"/>
      <c r="P972" s="2"/>
      <c r="Q972" s="2"/>
      <c r="R972" s="2"/>
      <c r="S972" s="2"/>
      <c r="T972" s="10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IU972" s="2"/>
      <c r="IV972" s="2"/>
      <c r="IW972" s="2"/>
      <c r="IX972" s="2"/>
      <c r="IY972" s="2"/>
      <c r="IZ972" s="2"/>
      <c r="JA972" s="2"/>
      <c r="JB972" s="2"/>
      <c r="JC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I973" s="5"/>
      <c r="J973" s="211"/>
      <c r="K973" s="5"/>
      <c r="L973" s="5"/>
      <c r="N973" s="2"/>
      <c r="O973" s="2"/>
      <c r="P973" s="2"/>
      <c r="Q973" s="2"/>
      <c r="R973" s="2"/>
      <c r="S973" s="2"/>
      <c r="T973" s="10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IU973" s="2"/>
      <c r="IV973" s="2"/>
      <c r="IW973" s="2"/>
      <c r="IX973" s="2"/>
      <c r="IY973" s="2"/>
      <c r="IZ973" s="2"/>
      <c r="JA973" s="2"/>
      <c r="JB973" s="2"/>
      <c r="JC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I974" s="209"/>
      <c r="J974" s="210"/>
      <c r="K974" s="209"/>
      <c r="L974" s="209"/>
      <c r="N974" s="2"/>
      <c r="O974" s="2"/>
      <c r="P974" s="2"/>
      <c r="Q974" s="2"/>
      <c r="R974" s="2"/>
      <c r="S974" s="2"/>
      <c r="T974" s="10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IU974" s="2"/>
      <c r="IV974" s="2"/>
      <c r="IW974" s="2"/>
      <c r="IX974" s="2"/>
      <c r="IY974" s="2"/>
      <c r="IZ974" s="2"/>
      <c r="JA974" s="2"/>
      <c r="JB974" s="2"/>
      <c r="JC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I975" s="5"/>
      <c r="J975" s="211"/>
      <c r="K975" s="5"/>
      <c r="L975" s="5"/>
      <c r="N975" s="2"/>
      <c r="O975" s="2"/>
      <c r="P975" s="2"/>
      <c r="Q975" s="2"/>
      <c r="R975" s="2"/>
      <c r="S975" s="2"/>
      <c r="T975" s="10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IU975" s="2"/>
      <c r="IV975" s="2"/>
      <c r="IW975" s="2"/>
      <c r="IX975" s="2"/>
      <c r="IY975" s="2"/>
      <c r="IZ975" s="2"/>
      <c r="JA975" s="2"/>
      <c r="JB975" s="2"/>
      <c r="JC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I976" s="209"/>
      <c r="J976" s="210"/>
      <c r="K976" s="209"/>
      <c r="L976" s="209"/>
      <c r="N976" s="2"/>
      <c r="O976" s="2"/>
      <c r="P976" s="2"/>
      <c r="Q976" s="2"/>
      <c r="R976" s="2"/>
      <c r="S976" s="2"/>
      <c r="T976" s="10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IU976" s="2"/>
      <c r="IV976" s="2"/>
      <c r="IW976" s="2"/>
      <c r="IX976" s="2"/>
      <c r="IY976" s="2"/>
      <c r="IZ976" s="2"/>
      <c r="JA976" s="2"/>
      <c r="JB976" s="2"/>
      <c r="JC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I977" s="5"/>
      <c r="J977" s="211"/>
      <c r="K977" s="5"/>
      <c r="L977" s="5"/>
      <c r="N977" s="2"/>
      <c r="O977" s="2"/>
      <c r="P977" s="2"/>
      <c r="Q977" s="2"/>
      <c r="R977" s="2"/>
      <c r="S977" s="2"/>
      <c r="T977" s="10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IU977" s="2"/>
      <c r="IV977" s="2"/>
      <c r="IW977" s="2"/>
      <c r="IX977" s="2"/>
      <c r="IY977" s="2"/>
      <c r="IZ977" s="2"/>
      <c r="JA977" s="2"/>
      <c r="JB977" s="2"/>
      <c r="JC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I978" s="209"/>
      <c r="J978" s="210"/>
      <c r="K978" s="209"/>
      <c r="L978" s="209"/>
      <c r="N978" s="2"/>
      <c r="O978" s="2"/>
      <c r="P978" s="2"/>
      <c r="Q978" s="2"/>
      <c r="R978" s="2"/>
      <c r="S978" s="2"/>
      <c r="T978" s="10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IU978" s="2"/>
      <c r="IV978" s="2"/>
      <c r="IW978" s="2"/>
      <c r="IX978" s="2"/>
      <c r="IY978" s="2"/>
      <c r="IZ978" s="2"/>
      <c r="JA978" s="2"/>
      <c r="JB978" s="2"/>
      <c r="JC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I979" s="5"/>
      <c r="J979" s="211"/>
      <c r="K979" s="5"/>
      <c r="L979" s="5"/>
      <c r="N979" s="2"/>
      <c r="O979" s="2"/>
      <c r="P979" s="2"/>
      <c r="Q979" s="2"/>
      <c r="R979" s="2"/>
      <c r="S979" s="2"/>
      <c r="T979" s="10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IU979" s="2"/>
      <c r="IV979" s="2"/>
      <c r="IW979" s="2"/>
      <c r="IX979" s="2"/>
      <c r="IY979" s="2"/>
      <c r="IZ979" s="2"/>
      <c r="JA979" s="2"/>
      <c r="JB979" s="2"/>
      <c r="JC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I980" s="209"/>
      <c r="J980" s="210"/>
      <c r="K980" s="209"/>
      <c r="L980" s="209"/>
      <c r="N980" s="2"/>
      <c r="O980" s="2"/>
      <c r="P980" s="2"/>
      <c r="Q980" s="2"/>
      <c r="R980" s="2"/>
      <c r="S980" s="2"/>
      <c r="T980" s="10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IU980" s="2"/>
      <c r="IV980" s="2"/>
      <c r="IW980" s="2"/>
      <c r="IX980" s="2"/>
      <c r="IY980" s="2"/>
      <c r="IZ980" s="2"/>
      <c r="JA980" s="2"/>
      <c r="JB980" s="2"/>
      <c r="JC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I981" s="5"/>
      <c r="J981" s="211"/>
      <c r="K981" s="5"/>
      <c r="L981" s="5"/>
      <c r="N981" s="2"/>
      <c r="O981" s="2"/>
      <c r="P981" s="2"/>
      <c r="Q981" s="2"/>
      <c r="R981" s="2"/>
      <c r="S981" s="2"/>
      <c r="T981" s="10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IU981" s="2"/>
      <c r="IV981" s="2"/>
      <c r="IW981" s="2"/>
      <c r="IX981" s="2"/>
      <c r="IY981" s="2"/>
      <c r="IZ981" s="2"/>
      <c r="JA981" s="2"/>
      <c r="JB981" s="2"/>
      <c r="JC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I982" s="209"/>
      <c r="J982" s="210"/>
      <c r="K982" s="209"/>
      <c r="L982" s="209"/>
      <c r="N982" s="2"/>
      <c r="O982" s="2"/>
      <c r="P982" s="2"/>
      <c r="Q982" s="2"/>
      <c r="R982" s="2"/>
      <c r="S982" s="2"/>
      <c r="T982" s="10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IU982" s="2"/>
      <c r="IV982" s="2"/>
      <c r="IW982" s="2"/>
      <c r="IX982" s="2"/>
      <c r="IY982" s="2"/>
      <c r="IZ982" s="2"/>
      <c r="JA982" s="2"/>
      <c r="JB982" s="2"/>
      <c r="JC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I983" s="5"/>
      <c r="J983" s="211"/>
      <c r="K983" s="5"/>
      <c r="L983" s="5"/>
      <c r="N983" s="2"/>
      <c r="O983" s="2"/>
      <c r="P983" s="2"/>
      <c r="Q983" s="2"/>
      <c r="R983" s="2"/>
      <c r="S983" s="2"/>
      <c r="T983" s="10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IU983" s="2"/>
      <c r="IV983" s="2"/>
      <c r="IW983" s="2"/>
      <c r="IX983" s="2"/>
      <c r="IY983" s="2"/>
      <c r="IZ983" s="2"/>
      <c r="JA983" s="2"/>
      <c r="JB983" s="2"/>
      <c r="JC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I984" s="209"/>
      <c r="J984" s="210"/>
      <c r="K984" s="209"/>
      <c r="L984" s="209"/>
      <c r="N984" s="2"/>
      <c r="O984" s="2"/>
      <c r="P984" s="2"/>
      <c r="Q984" s="2"/>
      <c r="R984" s="2"/>
      <c r="S984" s="2"/>
      <c r="T984" s="10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IU984" s="2"/>
      <c r="IV984" s="2"/>
      <c r="IW984" s="2"/>
      <c r="IX984" s="2"/>
      <c r="IY984" s="2"/>
      <c r="IZ984" s="2"/>
      <c r="JA984" s="2"/>
      <c r="JB984" s="2"/>
      <c r="JC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I985" s="5"/>
      <c r="J985" s="211"/>
      <c r="K985" s="5"/>
      <c r="L985" s="5"/>
      <c r="N985" s="2"/>
      <c r="O985" s="2"/>
      <c r="P985" s="2"/>
      <c r="Q985" s="2"/>
      <c r="R985" s="2"/>
      <c r="S985" s="2"/>
      <c r="T985" s="10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IU985" s="2"/>
      <c r="IV985" s="2"/>
      <c r="IW985" s="2"/>
      <c r="IX985" s="2"/>
      <c r="IY985" s="2"/>
      <c r="IZ985" s="2"/>
      <c r="JA985" s="2"/>
      <c r="JB985" s="2"/>
      <c r="JC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I986" s="209"/>
      <c r="J986" s="210"/>
      <c r="K986" s="209"/>
      <c r="L986" s="209"/>
      <c r="N986" s="2"/>
      <c r="O986" s="2"/>
      <c r="P986" s="2"/>
      <c r="Q986" s="2"/>
      <c r="R986" s="2"/>
      <c r="S986" s="2"/>
      <c r="T986" s="10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IU986" s="2"/>
      <c r="IV986" s="2"/>
      <c r="IW986" s="2"/>
      <c r="IX986" s="2"/>
      <c r="IY986" s="2"/>
      <c r="IZ986" s="2"/>
      <c r="JA986" s="2"/>
      <c r="JB986" s="2"/>
      <c r="JC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I987" s="5"/>
      <c r="J987" s="211"/>
      <c r="K987" s="5"/>
      <c r="L987" s="5"/>
      <c r="N987" s="2"/>
      <c r="O987" s="2"/>
      <c r="P987" s="2"/>
      <c r="Q987" s="2"/>
      <c r="R987" s="2"/>
      <c r="S987" s="2"/>
      <c r="T987" s="10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IU987" s="2"/>
      <c r="IV987" s="2"/>
      <c r="IW987" s="2"/>
      <c r="IX987" s="2"/>
      <c r="IY987" s="2"/>
      <c r="IZ987" s="2"/>
      <c r="JA987" s="2"/>
      <c r="JB987" s="2"/>
      <c r="JC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I988" s="209"/>
      <c r="J988" s="210"/>
      <c r="K988" s="209"/>
      <c r="L988" s="209"/>
      <c r="N988" s="2"/>
      <c r="O988" s="2"/>
      <c r="P988" s="2"/>
      <c r="Q988" s="2"/>
      <c r="R988" s="2"/>
      <c r="S988" s="2"/>
      <c r="T988" s="10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IU988" s="2"/>
      <c r="IV988" s="2"/>
      <c r="IW988" s="2"/>
      <c r="IX988" s="2"/>
      <c r="IY988" s="2"/>
      <c r="IZ988" s="2"/>
      <c r="JA988" s="2"/>
      <c r="JB988" s="2"/>
      <c r="JC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I989" s="5"/>
      <c r="J989" s="211"/>
      <c r="K989" s="5"/>
      <c r="L989" s="5"/>
      <c r="N989" s="2"/>
      <c r="O989" s="2"/>
      <c r="P989" s="2"/>
      <c r="Q989" s="2"/>
      <c r="R989" s="2"/>
      <c r="S989" s="2"/>
      <c r="T989" s="10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IU989" s="2"/>
      <c r="IV989" s="2"/>
      <c r="IW989" s="2"/>
      <c r="IX989" s="2"/>
      <c r="IY989" s="2"/>
      <c r="IZ989" s="2"/>
      <c r="JA989" s="2"/>
      <c r="JB989" s="2"/>
      <c r="JC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I990" s="209"/>
      <c r="J990" s="210"/>
      <c r="K990" s="209"/>
      <c r="L990" s="209"/>
      <c r="N990" s="2"/>
      <c r="O990" s="2"/>
      <c r="P990" s="2"/>
      <c r="Q990" s="2"/>
      <c r="R990" s="2"/>
      <c r="S990" s="2"/>
      <c r="T990" s="10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IU990" s="2"/>
      <c r="IV990" s="2"/>
      <c r="IW990" s="2"/>
      <c r="IX990" s="2"/>
      <c r="IY990" s="2"/>
      <c r="IZ990" s="2"/>
      <c r="JA990" s="2"/>
      <c r="JB990" s="2"/>
      <c r="JC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I991" s="5"/>
      <c r="J991" s="211"/>
      <c r="K991" s="5"/>
      <c r="L991" s="5"/>
      <c r="N991" s="2"/>
      <c r="O991" s="2"/>
      <c r="P991" s="2"/>
      <c r="Q991" s="2"/>
      <c r="R991" s="2"/>
      <c r="S991" s="2"/>
      <c r="T991" s="10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IU991" s="2"/>
      <c r="IV991" s="2"/>
      <c r="IW991" s="2"/>
      <c r="IX991" s="2"/>
      <c r="IY991" s="2"/>
      <c r="IZ991" s="2"/>
      <c r="JA991" s="2"/>
      <c r="JB991" s="2"/>
      <c r="JC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I992" s="209"/>
      <c r="J992" s="210"/>
      <c r="K992" s="209"/>
      <c r="L992" s="209"/>
      <c r="N992" s="2"/>
      <c r="O992" s="2"/>
      <c r="P992" s="2"/>
      <c r="Q992" s="2"/>
      <c r="R992" s="2"/>
      <c r="S992" s="2"/>
      <c r="T992" s="10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IU992" s="2"/>
      <c r="IV992" s="2"/>
      <c r="IW992" s="2"/>
      <c r="IX992" s="2"/>
      <c r="IY992" s="2"/>
      <c r="IZ992" s="2"/>
      <c r="JA992" s="2"/>
      <c r="JB992" s="2"/>
      <c r="JC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I993" s="5"/>
      <c r="J993" s="211"/>
      <c r="K993" s="5"/>
      <c r="L993" s="5"/>
      <c r="N993" s="2"/>
      <c r="O993" s="2"/>
      <c r="P993" s="2"/>
      <c r="Q993" s="2"/>
      <c r="R993" s="2"/>
      <c r="S993" s="2"/>
      <c r="T993" s="10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IU993" s="2"/>
      <c r="IV993" s="2"/>
      <c r="IW993" s="2"/>
      <c r="IX993" s="2"/>
      <c r="IY993" s="2"/>
      <c r="IZ993" s="2"/>
      <c r="JA993" s="2"/>
      <c r="JB993" s="2"/>
      <c r="JC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I994" s="209"/>
      <c r="J994" s="210"/>
      <c r="K994" s="209"/>
      <c r="L994" s="209"/>
      <c r="N994" s="2"/>
      <c r="O994" s="2"/>
      <c r="P994" s="2"/>
      <c r="Q994" s="2"/>
      <c r="R994" s="2"/>
      <c r="S994" s="2"/>
      <c r="T994" s="10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IU994" s="2"/>
      <c r="IV994" s="2"/>
      <c r="IW994" s="2"/>
      <c r="IX994" s="2"/>
      <c r="IY994" s="2"/>
      <c r="IZ994" s="2"/>
      <c r="JA994" s="2"/>
      <c r="JB994" s="2"/>
      <c r="JC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I995" s="5"/>
      <c r="J995" s="211"/>
      <c r="K995" s="5"/>
      <c r="L995" s="5"/>
      <c r="N995" s="2"/>
      <c r="O995" s="2"/>
      <c r="P995" s="2"/>
      <c r="Q995" s="2"/>
      <c r="R995" s="2"/>
      <c r="S995" s="2"/>
      <c r="T995" s="10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IU995" s="2"/>
      <c r="IV995" s="2"/>
      <c r="IW995" s="2"/>
      <c r="IX995" s="2"/>
      <c r="IY995" s="2"/>
      <c r="IZ995" s="2"/>
      <c r="JA995" s="2"/>
      <c r="JB995" s="2"/>
      <c r="JC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I996" s="209"/>
      <c r="J996" s="210"/>
      <c r="K996" s="209"/>
      <c r="L996" s="209"/>
      <c r="N996" s="2"/>
      <c r="O996" s="2"/>
      <c r="P996" s="2"/>
      <c r="Q996" s="2"/>
      <c r="R996" s="2"/>
      <c r="S996" s="2"/>
      <c r="T996" s="10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IU996" s="2"/>
      <c r="IV996" s="2"/>
      <c r="IW996" s="2"/>
      <c r="IX996" s="2"/>
      <c r="IY996" s="2"/>
      <c r="IZ996" s="2"/>
      <c r="JA996" s="2"/>
      <c r="JB996" s="2"/>
      <c r="JC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I997" s="5"/>
      <c r="J997" s="211"/>
      <c r="K997" s="5"/>
      <c r="L997" s="5"/>
      <c r="N997" s="2"/>
      <c r="O997" s="2"/>
      <c r="P997" s="2"/>
      <c r="Q997" s="2"/>
      <c r="R997" s="2"/>
      <c r="S997" s="2"/>
      <c r="T997" s="10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IU997" s="2"/>
      <c r="IV997" s="2"/>
      <c r="IW997" s="2"/>
      <c r="IX997" s="2"/>
      <c r="IY997" s="2"/>
      <c r="IZ997" s="2"/>
      <c r="JA997" s="2"/>
      <c r="JB997" s="2"/>
      <c r="JC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I998" s="209"/>
      <c r="J998" s="210"/>
      <c r="K998" s="209"/>
      <c r="L998" s="209"/>
      <c r="N998" s="2"/>
      <c r="O998" s="2"/>
      <c r="P998" s="2"/>
      <c r="Q998" s="2"/>
      <c r="R998" s="2"/>
      <c r="S998" s="2"/>
      <c r="T998" s="10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IU998" s="2"/>
      <c r="IV998" s="2"/>
      <c r="IW998" s="2"/>
      <c r="IX998" s="2"/>
      <c r="IY998" s="2"/>
      <c r="IZ998" s="2"/>
      <c r="JA998" s="2"/>
      <c r="JB998" s="2"/>
      <c r="JC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I999" s="5"/>
      <c r="J999" s="211"/>
      <c r="K999" s="5"/>
      <c r="L999" s="5"/>
      <c r="N999" s="2"/>
      <c r="O999" s="2"/>
      <c r="P999" s="2"/>
      <c r="Q999" s="2"/>
      <c r="R999" s="2"/>
      <c r="S999" s="2"/>
      <c r="T999" s="10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IU999" s="2"/>
      <c r="IV999" s="2"/>
      <c r="IW999" s="2"/>
      <c r="IX999" s="2"/>
      <c r="IY999" s="2"/>
      <c r="IZ999" s="2"/>
      <c r="JA999" s="2"/>
      <c r="JB999" s="2"/>
      <c r="JC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I1000" s="209"/>
      <c r="J1000" s="210"/>
      <c r="K1000" s="209"/>
      <c r="L1000" s="209"/>
      <c r="N1000" s="2"/>
      <c r="O1000" s="2"/>
      <c r="P1000" s="2"/>
      <c r="Q1000" s="2"/>
      <c r="R1000" s="2"/>
      <c r="S1000" s="2"/>
      <c r="T1000" s="10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IU1000" s="2"/>
      <c r="IV1000" s="2"/>
      <c r="IW1000" s="2"/>
      <c r="IX1000" s="2"/>
      <c r="IY1000" s="2"/>
      <c r="IZ1000" s="2"/>
      <c r="JA1000" s="2"/>
      <c r="JB1000" s="2"/>
      <c r="JC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I1001" s="5"/>
      <c r="J1001" s="211"/>
      <c r="K1001" s="5"/>
      <c r="L1001" s="5"/>
      <c r="N1001" s="2"/>
      <c r="O1001" s="2"/>
      <c r="P1001" s="2"/>
      <c r="Q1001" s="2"/>
      <c r="R1001" s="2"/>
      <c r="S1001" s="2"/>
      <c r="T1001" s="10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IU1001" s="2"/>
      <c r="IV1001" s="2"/>
      <c r="IW1001" s="2"/>
      <c r="IX1001" s="2"/>
      <c r="IY1001" s="2"/>
      <c r="IZ1001" s="2"/>
      <c r="JA1001" s="2"/>
      <c r="JB1001" s="2"/>
      <c r="JC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I1002" s="209"/>
      <c r="J1002" s="210"/>
      <c r="K1002" s="209"/>
      <c r="L1002" s="209"/>
      <c r="N1002" s="2"/>
      <c r="O1002" s="2"/>
      <c r="P1002" s="2"/>
      <c r="Q1002" s="2"/>
      <c r="R1002" s="2"/>
      <c r="S1002" s="2"/>
      <c r="T1002" s="10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IU1002" s="2"/>
      <c r="IV1002" s="2"/>
      <c r="IW1002" s="2"/>
      <c r="IX1002" s="2"/>
      <c r="IY1002" s="2"/>
      <c r="IZ1002" s="2"/>
      <c r="JA1002" s="2"/>
      <c r="JB1002" s="2"/>
      <c r="JC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I1003" s="5"/>
      <c r="J1003" s="211"/>
      <c r="K1003" s="5"/>
      <c r="L1003" s="5"/>
      <c r="N1003" s="2"/>
      <c r="O1003" s="2"/>
      <c r="P1003" s="2"/>
      <c r="Q1003" s="2"/>
      <c r="R1003" s="2"/>
      <c r="S1003" s="2"/>
      <c r="T1003" s="10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IU1003" s="2"/>
      <c r="IV1003" s="2"/>
      <c r="IW1003" s="2"/>
      <c r="IX1003" s="2"/>
      <c r="IY1003" s="2"/>
      <c r="IZ1003" s="2"/>
      <c r="JA1003" s="2"/>
      <c r="JB1003" s="2"/>
      <c r="JC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I1004" s="209"/>
      <c r="J1004" s="210"/>
      <c r="K1004" s="209"/>
      <c r="L1004" s="209"/>
      <c r="N1004" s="2"/>
      <c r="O1004" s="2"/>
      <c r="P1004" s="2"/>
      <c r="Q1004" s="2"/>
      <c r="R1004" s="2"/>
      <c r="S1004" s="2"/>
      <c r="T1004" s="10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IU1004" s="2"/>
      <c r="IV1004" s="2"/>
      <c r="IW1004" s="2"/>
      <c r="IX1004" s="2"/>
      <c r="IY1004" s="2"/>
      <c r="IZ1004" s="2"/>
      <c r="JA1004" s="2"/>
      <c r="JB1004" s="2"/>
      <c r="JC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I1005" s="5"/>
      <c r="J1005" s="211"/>
      <c r="K1005" s="5"/>
      <c r="L1005" s="5"/>
      <c r="N1005" s="2"/>
      <c r="O1005" s="2"/>
      <c r="P1005" s="2"/>
      <c r="Q1005" s="2"/>
      <c r="R1005" s="2"/>
      <c r="S1005" s="2"/>
      <c r="T1005" s="10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IU1005" s="2"/>
      <c r="IV1005" s="2"/>
      <c r="IW1005" s="2"/>
      <c r="IX1005" s="2"/>
      <c r="IY1005" s="2"/>
      <c r="IZ1005" s="2"/>
      <c r="JA1005" s="2"/>
      <c r="JB1005" s="2"/>
      <c r="JC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I1006" s="209"/>
      <c r="J1006" s="210"/>
      <c r="K1006" s="209"/>
      <c r="L1006" s="209"/>
      <c r="N1006" s="2"/>
      <c r="O1006" s="2"/>
      <c r="P1006" s="2"/>
      <c r="Q1006" s="2"/>
      <c r="R1006" s="2"/>
      <c r="S1006" s="2"/>
      <c r="T1006" s="10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IU1006" s="2"/>
      <c r="IV1006" s="2"/>
      <c r="IW1006" s="2"/>
      <c r="IX1006" s="2"/>
      <c r="IY1006" s="2"/>
      <c r="IZ1006" s="2"/>
      <c r="JA1006" s="2"/>
      <c r="JB1006" s="2"/>
      <c r="JC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I1007" s="5"/>
      <c r="J1007" s="211"/>
      <c r="K1007" s="5"/>
      <c r="L1007" s="5"/>
      <c r="N1007" s="2"/>
      <c r="O1007" s="2"/>
      <c r="P1007" s="2"/>
      <c r="Q1007" s="2"/>
      <c r="R1007" s="2"/>
      <c r="S1007" s="2"/>
      <c r="T1007" s="10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IU1007" s="2"/>
      <c r="IV1007" s="2"/>
      <c r="IW1007" s="2"/>
      <c r="IX1007" s="2"/>
      <c r="IY1007" s="2"/>
      <c r="IZ1007" s="2"/>
      <c r="JA1007" s="2"/>
      <c r="JB1007" s="2"/>
      <c r="JC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I1008" s="209"/>
      <c r="J1008" s="210"/>
      <c r="K1008" s="209"/>
      <c r="L1008" s="209"/>
      <c r="N1008" s="2"/>
      <c r="O1008" s="2"/>
      <c r="P1008" s="2"/>
      <c r="Q1008" s="2"/>
      <c r="R1008" s="2"/>
      <c r="S1008" s="2"/>
      <c r="T1008" s="10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IU1008" s="2"/>
      <c r="IV1008" s="2"/>
      <c r="IW1008" s="2"/>
      <c r="IX1008" s="2"/>
      <c r="IY1008" s="2"/>
      <c r="IZ1008" s="2"/>
      <c r="JA1008" s="2"/>
      <c r="JB1008" s="2"/>
      <c r="JC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I1009" s="5"/>
      <c r="J1009" s="211"/>
      <c r="K1009" s="5"/>
      <c r="L1009" s="5"/>
      <c r="N1009" s="2"/>
      <c r="O1009" s="2"/>
      <c r="P1009" s="2"/>
      <c r="Q1009" s="2"/>
      <c r="R1009" s="2"/>
      <c r="S1009" s="2"/>
      <c r="T1009" s="10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IU1009" s="2"/>
      <c r="IV1009" s="2"/>
      <c r="IW1009" s="2"/>
      <c r="IX1009" s="2"/>
      <c r="IY1009" s="2"/>
      <c r="IZ1009" s="2"/>
      <c r="JA1009" s="2"/>
      <c r="JB1009" s="2"/>
      <c r="JC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I1010" s="209"/>
      <c r="J1010" s="210"/>
      <c r="K1010" s="209"/>
      <c r="L1010" s="209"/>
      <c r="N1010" s="2"/>
      <c r="O1010" s="2"/>
      <c r="P1010" s="2"/>
      <c r="Q1010" s="2"/>
      <c r="R1010" s="2"/>
      <c r="S1010" s="2"/>
      <c r="T1010" s="10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IU1010" s="2"/>
      <c r="IV1010" s="2"/>
      <c r="IW1010" s="2"/>
      <c r="IX1010" s="2"/>
      <c r="IY1010" s="2"/>
      <c r="IZ1010" s="2"/>
      <c r="JA1010" s="2"/>
      <c r="JB1010" s="2"/>
      <c r="JC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I1011" s="5"/>
      <c r="J1011" s="211"/>
      <c r="K1011" s="5"/>
      <c r="L1011" s="5"/>
      <c r="N1011" s="2"/>
      <c r="O1011" s="2"/>
      <c r="P1011" s="2"/>
      <c r="Q1011" s="2"/>
      <c r="R1011" s="2"/>
      <c r="S1011" s="2"/>
      <c r="T1011" s="10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IU1011" s="2"/>
      <c r="IV1011" s="2"/>
      <c r="IW1011" s="2"/>
      <c r="IX1011" s="2"/>
      <c r="IY1011" s="2"/>
      <c r="IZ1011" s="2"/>
      <c r="JA1011" s="2"/>
      <c r="JB1011" s="2"/>
      <c r="JC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I1012" s="209"/>
      <c r="J1012" s="210"/>
      <c r="K1012" s="209"/>
      <c r="L1012" s="209"/>
      <c r="N1012" s="2"/>
      <c r="O1012" s="2"/>
      <c r="P1012" s="2"/>
      <c r="Q1012" s="2"/>
      <c r="R1012" s="2"/>
      <c r="S1012" s="2"/>
      <c r="T1012" s="10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IU1012" s="2"/>
      <c r="IV1012" s="2"/>
      <c r="IW1012" s="2"/>
      <c r="IX1012" s="2"/>
      <c r="IY1012" s="2"/>
      <c r="IZ1012" s="2"/>
      <c r="JA1012" s="2"/>
      <c r="JB1012" s="2"/>
      <c r="JC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I1013" s="5"/>
      <c r="J1013" s="211"/>
      <c r="K1013" s="5"/>
      <c r="L1013" s="5"/>
      <c r="N1013" s="2"/>
      <c r="O1013" s="2"/>
      <c r="P1013" s="2"/>
      <c r="Q1013" s="2"/>
      <c r="R1013" s="2"/>
      <c r="S1013" s="2"/>
      <c r="T1013" s="10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IU1013" s="2"/>
      <c r="IV1013" s="2"/>
      <c r="IW1013" s="2"/>
      <c r="IX1013" s="2"/>
      <c r="IY1013" s="2"/>
      <c r="IZ1013" s="2"/>
      <c r="JA1013" s="2"/>
      <c r="JB1013" s="2"/>
      <c r="JC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I1014" s="209"/>
      <c r="J1014" s="210"/>
      <c r="K1014" s="209"/>
      <c r="L1014" s="209"/>
      <c r="N1014" s="2"/>
      <c r="O1014" s="2"/>
      <c r="P1014" s="2"/>
      <c r="Q1014" s="2"/>
      <c r="R1014" s="2"/>
      <c r="S1014" s="2"/>
      <c r="T1014" s="10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IU1014" s="2"/>
      <c r="IV1014" s="2"/>
      <c r="IW1014" s="2"/>
      <c r="IX1014" s="2"/>
      <c r="IY1014" s="2"/>
      <c r="IZ1014" s="2"/>
      <c r="JA1014" s="2"/>
      <c r="JB1014" s="2"/>
      <c r="JC1014" s="2"/>
    </row>
    <row r="1015" customFormat="false" ht="15.75" hidden="false" customHeight="false" outlineLevel="0" collapsed="false">
      <c r="A1015" s="2"/>
      <c r="B1015" s="2"/>
      <c r="C1015" s="2"/>
      <c r="D1015" s="2"/>
      <c r="E1015" s="2"/>
      <c r="F1015" s="2"/>
      <c r="G1015" s="2"/>
      <c r="I1015" s="5"/>
      <c r="J1015" s="211"/>
      <c r="K1015" s="5"/>
      <c r="L1015" s="5"/>
      <c r="N1015" s="2"/>
      <c r="O1015" s="2"/>
      <c r="P1015" s="2"/>
      <c r="Q1015" s="2"/>
      <c r="R1015" s="2"/>
      <c r="S1015" s="2"/>
      <c r="T1015" s="10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IU1015" s="2"/>
      <c r="IV1015" s="2"/>
      <c r="IW1015" s="2"/>
      <c r="IX1015" s="2"/>
      <c r="IY1015" s="2"/>
      <c r="IZ1015" s="2"/>
      <c r="JA1015" s="2"/>
      <c r="JB1015" s="2"/>
      <c r="JC1015" s="2"/>
    </row>
    <row r="1016" customFormat="false" ht="15.75" hidden="false" customHeight="false" outlineLevel="0" collapsed="false">
      <c r="A1016" s="2"/>
      <c r="B1016" s="2"/>
      <c r="C1016" s="2"/>
      <c r="D1016" s="2"/>
      <c r="E1016" s="2"/>
      <c r="F1016" s="2"/>
      <c r="G1016" s="2"/>
      <c r="I1016" s="209"/>
      <c r="J1016" s="210"/>
      <c r="K1016" s="209"/>
      <c r="L1016" s="209"/>
      <c r="N1016" s="2"/>
      <c r="O1016" s="2"/>
      <c r="P1016" s="2"/>
      <c r="Q1016" s="2"/>
      <c r="R1016" s="2"/>
      <c r="S1016" s="2"/>
      <c r="T1016" s="10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IU1016" s="2"/>
      <c r="IV1016" s="2"/>
      <c r="IW1016" s="2"/>
      <c r="IX1016" s="2"/>
      <c r="IY1016" s="2"/>
      <c r="IZ1016" s="2"/>
      <c r="JA1016" s="2"/>
      <c r="JB1016" s="2"/>
      <c r="JC1016" s="2"/>
    </row>
    <row r="1017" customFormat="false" ht="15.75" hidden="false" customHeight="false" outlineLevel="0" collapsed="false">
      <c r="A1017" s="2"/>
      <c r="B1017" s="2"/>
      <c r="C1017" s="2"/>
      <c r="D1017" s="2"/>
      <c r="E1017" s="2"/>
      <c r="F1017" s="2"/>
      <c r="G1017" s="2"/>
      <c r="I1017" s="5"/>
      <c r="J1017" s="211"/>
      <c r="K1017" s="5"/>
      <c r="L1017" s="5"/>
      <c r="N1017" s="2"/>
      <c r="O1017" s="2"/>
      <c r="P1017" s="2"/>
      <c r="Q1017" s="2"/>
      <c r="R1017" s="2"/>
      <c r="S1017" s="2"/>
      <c r="T1017" s="10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IU1017" s="2"/>
      <c r="IV1017" s="2"/>
      <c r="IW1017" s="2"/>
      <c r="IX1017" s="2"/>
      <c r="IY1017" s="2"/>
      <c r="IZ1017" s="2"/>
      <c r="JA1017" s="2"/>
      <c r="JB1017" s="2"/>
      <c r="JC1017" s="2"/>
    </row>
    <row r="1018" customFormat="false" ht="15.75" hidden="false" customHeight="false" outlineLevel="0" collapsed="false">
      <c r="A1018" s="2"/>
      <c r="B1018" s="2"/>
      <c r="C1018" s="2"/>
      <c r="D1018" s="2"/>
      <c r="E1018" s="2"/>
      <c r="F1018" s="2"/>
      <c r="G1018" s="2"/>
      <c r="I1018" s="209"/>
      <c r="J1018" s="210"/>
      <c r="K1018" s="209"/>
      <c r="L1018" s="209"/>
      <c r="N1018" s="2"/>
      <c r="O1018" s="2"/>
      <c r="P1018" s="2"/>
      <c r="Q1018" s="2"/>
      <c r="R1018" s="2"/>
      <c r="S1018" s="2"/>
      <c r="T1018" s="10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IU1018" s="2"/>
      <c r="IV1018" s="2"/>
      <c r="IW1018" s="2"/>
      <c r="IX1018" s="2"/>
      <c r="IY1018" s="2"/>
      <c r="IZ1018" s="2"/>
      <c r="JA1018" s="2"/>
      <c r="JB1018" s="2"/>
      <c r="JC1018" s="2"/>
    </row>
    <row r="1019" customFormat="false" ht="15.75" hidden="false" customHeight="false" outlineLevel="0" collapsed="false">
      <c r="A1019" s="2"/>
      <c r="B1019" s="2"/>
      <c r="C1019" s="2"/>
      <c r="D1019" s="2"/>
      <c r="E1019" s="2"/>
      <c r="F1019" s="2"/>
      <c r="G1019" s="2"/>
      <c r="I1019" s="5"/>
      <c r="J1019" s="211"/>
      <c r="K1019" s="5"/>
      <c r="L1019" s="5"/>
      <c r="N1019" s="2"/>
      <c r="O1019" s="2"/>
      <c r="P1019" s="2"/>
      <c r="Q1019" s="2"/>
      <c r="R1019" s="2"/>
      <c r="S1019" s="2"/>
      <c r="T1019" s="10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IU1019" s="2"/>
      <c r="IV1019" s="2"/>
      <c r="IW1019" s="2"/>
      <c r="IX1019" s="2"/>
      <c r="IY1019" s="2"/>
      <c r="IZ1019" s="2"/>
      <c r="JA1019" s="2"/>
      <c r="JB1019" s="2"/>
      <c r="JC1019" s="2"/>
    </row>
    <row r="1020" customFormat="false" ht="15.75" hidden="false" customHeight="false" outlineLevel="0" collapsed="false">
      <c r="A1020" s="2"/>
      <c r="B1020" s="2"/>
      <c r="C1020" s="2"/>
      <c r="D1020" s="2"/>
      <c r="E1020" s="2"/>
      <c r="F1020" s="2"/>
      <c r="G1020" s="2"/>
      <c r="I1020" s="209"/>
      <c r="J1020" s="210"/>
      <c r="K1020" s="209"/>
      <c r="L1020" s="209"/>
      <c r="N1020" s="2"/>
      <c r="O1020" s="2"/>
      <c r="P1020" s="2"/>
      <c r="Q1020" s="2"/>
      <c r="R1020" s="2"/>
      <c r="S1020" s="2"/>
      <c r="T1020" s="10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IU1020" s="2"/>
      <c r="IV1020" s="2"/>
      <c r="IW1020" s="2"/>
      <c r="IX1020" s="2"/>
      <c r="IY1020" s="2"/>
      <c r="IZ1020" s="2"/>
      <c r="JA1020" s="2"/>
      <c r="JB1020" s="2"/>
      <c r="JC1020" s="2"/>
    </row>
    <row r="1021" customFormat="false" ht="15.75" hidden="false" customHeight="false" outlineLevel="0" collapsed="false">
      <c r="A1021" s="2"/>
      <c r="B1021" s="2"/>
      <c r="C1021" s="2"/>
      <c r="D1021" s="2"/>
      <c r="E1021" s="2"/>
      <c r="F1021" s="2"/>
      <c r="G1021" s="2"/>
      <c r="I1021" s="5"/>
      <c r="J1021" s="211"/>
      <c r="K1021" s="5"/>
      <c r="L1021" s="5"/>
      <c r="N1021" s="2"/>
      <c r="O1021" s="2"/>
      <c r="P1021" s="2"/>
      <c r="Q1021" s="2"/>
      <c r="R1021" s="2"/>
      <c r="S1021" s="2"/>
      <c r="T1021" s="10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IU1021" s="2"/>
      <c r="IV1021" s="2"/>
      <c r="IW1021" s="2"/>
      <c r="IX1021" s="2"/>
      <c r="IY1021" s="2"/>
      <c r="IZ1021" s="2"/>
      <c r="JA1021" s="2"/>
      <c r="JB1021" s="2"/>
      <c r="JC1021" s="2"/>
    </row>
    <row r="1022" customFormat="false" ht="15.75" hidden="false" customHeight="false" outlineLevel="0" collapsed="false">
      <c r="A1022" s="2"/>
      <c r="B1022" s="2"/>
      <c r="C1022" s="2"/>
      <c r="D1022" s="2"/>
      <c r="E1022" s="2"/>
      <c r="F1022" s="2"/>
      <c r="G1022" s="2"/>
      <c r="I1022" s="209"/>
      <c r="J1022" s="210"/>
      <c r="K1022" s="209"/>
      <c r="L1022" s="209"/>
      <c r="N1022" s="2"/>
      <c r="O1022" s="2"/>
      <c r="P1022" s="2"/>
      <c r="Q1022" s="2"/>
      <c r="R1022" s="2"/>
      <c r="S1022" s="2"/>
      <c r="T1022" s="10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IU1022" s="2"/>
      <c r="IV1022" s="2"/>
      <c r="IW1022" s="2"/>
      <c r="IX1022" s="2"/>
      <c r="IY1022" s="2"/>
      <c r="IZ1022" s="2"/>
      <c r="JA1022" s="2"/>
      <c r="JB1022" s="2"/>
      <c r="JC1022" s="2"/>
    </row>
    <row r="1023" customFormat="false" ht="15.75" hidden="false" customHeight="false" outlineLevel="0" collapsed="false">
      <c r="A1023" s="2"/>
      <c r="B1023" s="2"/>
      <c r="C1023" s="2"/>
      <c r="D1023" s="2"/>
      <c r="E1023" s="2"/>
      <c r="F1023" s="2"/>
      <c r="G1023" s="2"/>
      <c r="I1023" s="5"/>
      <c r="J1023" s="211"/>
      <c r="K1023" s="5"/>
      <c r="L1023" s="5"/>
      <c r="N1023" s="2"/>
      <c r="O1023" s="2"/>
      <c r="P1023" s="2"/>
      <c r="Q1023" s="2"/>
      <c r="R1023" s="2"/>
      <c r="S1023" s="2"/>
      <c r="T1023" s="10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IU1023" s="2"/>
      <c r="IV1023" s="2"/>
      <c r="IW1023" s="2"/>
      <c r="IX1023" s="2"/>
      <c r="IY1023" s="2"/>
      <c r="IZ1023" s="2"/>
      <c r="JA1023" s="2"/>
      <c r="JB1023" s="2"/>
      <c r="JC1023" s="2"/>
    </row>
    <row r="1024" customFormat="false" ht="15.75" hidden="false" customHeight="false" outlineLevel="0" collapsed="false">
      <c r="A1024" s="2"/>
      <c r="B1024" s="2"/>
      <c r="C1024" s="2"/>
      <c r="D1024" s="2"/>
      <c r="E1024" s="2"/>
      <c r="F1024" s="2"/>
      <c r="G1024" s="2"/>
      <c r="I1024" s="209"/>
      <c r="J1024" s="210"/>
      <c r="K1024" s="209"/>
      <c r="L1024" s="209"/>
      <c r="N1024" s="2"/>
      <c r="O1024" s="2"/>
      <c r="P1024" s="2"/>
      <c r="Q1024" s="2"/>
      <c r="R1024" s="2"/>
      <c r="S1024" s="2"/>
      <c r="T1024" s="10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IU1024" s="2"/>
      <c r="IV1024" s="2"/>
      <c r="IW1024" s="2"/>
      <c r="IX1024" s="2"/>
      <c r="IY1024" s="2"/>
      <c r="IZ1024" s="2"/>
      <c r="JA1024" s="2"/>
      <c r="JB1024" s="2"/>
      <c r="JC1024" s="2"/>
    </row>
    <row r="1025" customFormat="false" ht="15.75" hidden="false" customHeight="false" outlineLevel="0" collapsed="false">
      <c r="A1025" s="2"/>
      <c r="B1025" s="2"/>
      <c r="C1025" s="2"/>
      <c r="D1025" s="2"/>
      <c r="E1025" s="2"/>
      <c r="F1025" s="2"/>
      <c r="G1025" s="2"/>
      <c r="I1025" s="5"/>
      <c r="J1025" s="211"/>
      <c r="K1025" s="5"/>
      <c r="L1025" s="5"/>
      <c r="N1025" s="2"/>
      <c r="O1025" s="2"/>
      <c r="P1025" s="2"/>
      <c r="Q1025" s="2"/>
      <c r="R1025" s="2"/>
      <c r="S1025" s="2"/>
      <c r="T1025" s="10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IU1025" s="2"/>
      <c r="IV1025" s="2"/>
      <c r="IW1025" s="2"/>
      <c r="IX1025" s="2"/>
      <c r="IY1025" s="2"/>
      <c r="IZ1025" s="2"/>
      <c r="JA1025" s="2"/>
      <c r="JB1025" s="2"/>
      <c r="JC1025" s="2"/>
    </row>
    <row r="1026" customFormat="false" ht="15.75" hidden="false" customHeight="false" outlineLevel="0" collapsed="false">
      <c r="A1026" s="2"/>
      <c r="B1026" s="2"/>
      <c r="C1026" s="2"/>
      <c r="D1026" s="2"/>
      <c r="E1026" s="2"/>
      <c r="F1026" s="2"/>
      <c r="G1026" s="2"/>
      <c r="I1026" s="209"/>
      <c r="J1026" s="210"/>
      <c r="K1026" s="209"/>
      <c r="L1026" s="209"/>
      <c r="N1026" s="2"/>
      <c r="O1026" s="2"/>
      <c r="P1026" s="2"/>
      <c r="Q1026" s="2"/>
      <c r="R1026" s="2"/>
      <c r="S1026" s="2"/>
      <c r="T1026" s="10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IU1026" s="2"/>
      <c r="IV1026" s="2"/>
      <c r="IW1026" s="2"/>
      <c r="IX1026" s="2"/>
      <c r="IY1026" s="2"/>
      <c r="IZ1026" s="2"/>
      <c r="JA1026" s="2"/>
      <c r="JB1026" s="2"/>
      <c r="JC1026" s="2"/>
    </row>
    <row r="1027" customFormat="false" ht="15.75" hidden="false" customHeight="false" outlineLevel="0" collapsed="false">
      <c r="A1027" s="2"/>
      <c r="B1027" s="2"/>
      <c r="C1027" s="2"/>
      <c r="D1027" s="2"/>
      <c r="E1027" s="2"/>
      <c r="F1027" s="2"/>
      <c r="G1027" s="2"/>
      <c r="I1027" s="5"/>
      <c r="J1027" s="211"/>
      <c r="K1027" s="5"/>
      <c r="L1027" s="5"/>
      <c r="N1027" s="2"/>
      <c r="O1027" s="2"/>
      <c r="P1027" s="2"/>
      <c r="Q1027" s="2"/>
      <c r="R1027" s="2"/>
      <c r="S1027" s="2"/>
      <c r="T1027" s="10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IU1027" s="2"/>
      <c r="IV1027" s="2"/>
      <c r="IW1027" s="2"/>
      <c r="IX1027" s="2"/>
      <c r="IY1027" s="2"/>
      <c r="IZ1027" s="2"/>
      <c r="JA1027" s="2"/>
      <c r="JB1027" s="2"/>
      <c r="JC1027" s="2"/>
    </row>
    <row r="1028" customFormat="false" ht="15.75" hidden="false" customHeight="false" outlineLevel="0" collapsed="false">
      <c r="A1028" s="2"/>
      <c r="B1028" s="2"/>
      <c r="C1028" s="2"/>
      <c r="D1028" s="2"/>
      <c r="E1028" s="2"/>
      <c r="F1028" s="2"/>
      <c r="G1028" s="2"/>
      <c r="I1028" s="209"/>
      <c r="J1028" s="210"/>
      <c r="K1028" s="209"/>
      <c r="L1028" s="209"/>
      <c r="N1028" s="2"/>
      <c r="O1028" s="2"/>
      <c r="P1028" s="2"/>
      <c r="Q1028" s="2"/>
      <c r="R1028" s="2"/>
      <c r="S1028" s="2"/>
      <c r="T1028" s="10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IU1028" s="2"/>
      <c r="IV1028" s="2"/>
      <c r="IW1028" s="2"/>
      <c r="IX1028" s="2"/>
      <c r="IY1028" s="2"/>
      <c r="IZ1028" s="2"/>
      <c r="JA1028" s="2"/>
      <c r="JB1028" s="2"/>
      <c r="JC1028" s="2"/>
    </row>
    <row r="1029" customFormat="false" ht="15.75" hidden="false" customHeight="false" outlineLevel="0" collapsed="false">
      <c r="A1029" s="2"/>
      <c r="B1029" s="2"/>
      <c r="C1029" s="2"/>
      <c r="D1029" s="2"/>
      <c r="E1029" s="2"/>
      <c r="F1029" s="2"/>
      <c r="G1029" s="2"/>
      <c r="I1029" s="5"/>
      <c r="J1029" s="211"/>
      <c r="K1029" s="5"/>
      <c r="L1029" s="5"/>
      <c r="N1029" s="2"/>
      <c r="O1029" s="2"/>
      <c r="P1029" s="2"/>
      <c r="Q1029" s="2"/>
      <c r="R1029" s="2"/>
      <c r="S1029" s="2"/>
      <c r="T1029" s="10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IU1029" s="2"/>
      <c r="IV1029" s="2"/>
      <c r="IW1029" s="2"/>
      <c r="IX1029" s="2"/>
      <c r="IY1029" s="2"/>
      <c r="IZ1029" s="2"/>
      <c r="JA1029" s="2"/>
      <c r="JB1029" s="2"/>
      <c r="JC1029" s="2"/>
    </row>
    <row r="1030" customFormat="false" ht="15.75" hidden="false" customHeight="false" outlineLevel="0" collapsed="false">
      <c r="A1030" s="2"/>
      <c r="B1030" s="2"/>
      <c r="C1030" s="2"/>
      <c r="D1030" s="2"/>
      <c r="E1030" s="2"/>
      <c r="F1030" s="2"/>
      <c r="G1030" s="2"/>
      <c r="I1030" s="209"/>
      <c r="J1030" s="210"/>
      <c r="K1030" s="209"/>
      <c r="L1030" s="209"/>
      <c r="N1030" s="2"/>
      <c r="O1030" s="2"/>
      <c r="P1030" s="2"/>
      <c r="Q1030" s="2"/>
      <c r="R1030" s="2"/>
      <c r="S1030" s="2"/>
      <c r="T1030" s="10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IU1030" s="2"/>
      <c r="IV1030" s="2"/>
      <c r="IW1030" s="2"/>
      <c r="IX1030" s="2"/>
      <c r="IY1030" s="2"/>
      <c r="IZ1030" s="2"/>
      <c r="JA1030" s="2"/>
      <c r="JB1030" s="2"/>
      <c r="JC1030" s="2"/>
    </row>
    <row r="1031" customFormat="false" ht="15.75" hidden="false" customHeight="false" outlineLevel="0" collapsed="false">
      <c r="A1031" s="2"/>
      <c r="B1031" s="2"/>
      <c r="C1031" s="2"/>
      <c r="D1031" s="2"/>
      <c r="E1031" s="2"/>
      <c r="F1031" s="2"/>
      <c r="G1031" s="2"/>
      <c r="I1031" s="5"/>
      <c r="J1031" s="211"/>
      <c r="K1031" s="5"/>
      <c r="L1031" s="5"/>
      <c r="N1031" s="2"/>
      <c r="O1031" s="2"/>
      <c r="P1031" s="2"/>
      <c r="Q1031" s="2"/>
      <c r="R1031" s="2"/>
      <c r="S1031" s="2"/>
      <c r="T1031" s="10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IU1031" s="2"/>
      <c r="IV1031" s="2"/>
      <c r="IW1031" s="2"/>
      <c r="IX1031" s="2"/>
      <c r="IY1031" s="2"/>
      <c r="IZ1031" s="2"/>
      <c r="JA1031" s="2"/>
      <c r="JB1031" s="2"/>
      <c r="JC1031" s="2"/>
    </row>
    <row r="1032" customFormat="false" ht="15.75" hidden="false" customHeight="false" outlineLevel="0" collapsed="false">
      <c r="A1032" s="2"/>
      <c r="B1032" s="2"/>
      <c r="C1032" s="2"/>
      <c r="D1032" s="2"/>
      <c r="E1032" s="2"/>
      <c r="F1032" s="2"/>
      <c r="G1032" s="2"/>
      <c r="I1032" s="209"/>
      <c r="J1032" s="210"/>
      <c r="K1032" s="209"/>
      <c r="L1032" s="209"/>
      <c r="N1032" s="2"/>
      <c r="O1032" s="2"/>
      <c r="P1032" s="2"/>
      <c r="Q1032" s="2"/>
      <c r="R1032" s="2"/>
      <c r="S1032" s="2"/>
      <c r="T1032" s="10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IU1032" s="2"/>
      <c r="IV1032" s="2"/>
      <c r="IW1032" s="2"/>
      <c r="IX1032" s="2"/>
      <c r="IY1032" s="2"/>
      <c r="IZ1032" s="2"/>
      <c r="JA1032" s="2"/>
      <c r="JB1032" s="2"/>
      <c r="JC1032" s="2"/>
    </row>
    <row r="1033" customFormat="false" ht="15.75" hidden="false" customHeight="false" outlineLevel="0" collapsed="false">
      <c r="A1033" s="2"/>
      <c r="B1033" s="2"/>
      <c r="C1033" s="2"/>
      <c r="D1033" s="2"/>
      <c r="E1033" s="2"/>
      <c r="F1033" s="2"/>
      <c r="G1033" s="2"/>
      <c r="I1033" s="5"/>
      <c r="J1033" s="211"/>
      <c r="K1033" s="5"/>
      <c r="L1033" s="5"/>
      <c r="N1033" s="2"/>
      <c r="O1033" s="2"/>
      <c r="P1033" s="2"/>
      <c r="Q1033" s="2"/>
      <c r="R1033" s="2"/>
      <c r="S1033" s="2"/>
      <c r="T1033" s="10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IU1033" s="2"/>
      <c r="IV1033" s="2"/>
      <c r="IW1033" s="2"/>
      <c r="IX1033" s="2"/>
      <c r="IY1033" s="2"/>
      <c r="IZ1033" s="2"/>
      <c r="JA1033" s="2"/>
      <c r="JB1033" s="2"/>
      <c r="JC1033" s="2"/>
    </row>
    <row r="1034" customFormat="false" ht="15.75" hidden="false" customHeight="false" outlineLevel="0" collapsed="false">
      <c r="A1034" s="2"/>
      <c r="B1034" s="2"/>
      <c r="C1034" s="2"/>
      <c r="D1034" s="2"/>
      <c r="E1034" s="2"/>
      <c r="F1034" s="2"/>
      <c r="G1034" s="2"/>
      <c r="I1034" s="209"/>
      <c r="J1034" s="210"/>
      <c r="K1034" s="209"/>
      <c r="L1034" s="209"/>
      <c r="N1034" s="2"/>
      <c r="O1034" s="2"/>
      <c r="P1034" s="2"/>
      <c r="Q1034" s="2"/>
      <c r="R1034" s="2"/>
      <c r="S1034" s="2"/>
      <c r="T1034" s="10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IU1034" s="2"/>
      <c r="IV1034" s="2"/>
      <c r="IW1034" s="2"/>
      <c r="IX1034" s="2"/>
      <c r="IY1034" s="2"/>
      <c r="IZ1034" s="2"/>
      <c r="JA1034" s="2"/>
      <c r="JB1034" s="2"/>
      <c r="JC1034" s="2"/>
    </row>
    <row r="1035" customFormat="false" ht="15.75" hidden="false" customHeight="false" outlineLevel="0" collapsed="false">
      <c r="A1035" s="2"/>
      <c r="B1035" s="2"/>
      <c r="C1035" s="2"/>
      <c r="D1035" s="2"/>
      <c r="E1035" s="2"/>
      <c r="F1035" s="2"/>
      <c r="G1035" s="2"/>
      <c r="I1035" s="5"/>
      <c r="J1035" s="211"/>
      <c r="K1035" s="5"/>
      <c r="L1035" s="5"/>
      <c r="N1035" s="2"/>
      <c r="O1035" s="2"/>
      <c r="P1035" s="2"/>
      <c r="Q1035" s="2"/>
      <c r="R1035" s="2"/>
      <c r="S1035" s="2"/>
      <c r="T1035" s="10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IU1035" s="2"/>
      <c r="IV1035" s="2"/>
      <c r="IW1035" s="2"/>
      <c r="IX1035" s="2"/>
      <c r="IY1035" s="2"/>
      <c r="IZ1035" s="2"/>
      <c r="JA1035" s="2"/>
      <c r="JB1035" s="2"/>
      <c r="JC1035" s="2"/>
    </row>
    <row r="1036" customFormat="false" ht="15.75" hidden="false" customHeight="false" outlineLevel="0" collapsed="false">
      <c r="A1036" s="2"/>
      <c r="B1036" s="2"/>
      <c r="C1036" s="2"/>
      <c r="D1036" s="2"/>
      <c r="E1036" s="2"/>
      <c r="F1036" s="2"/>
      <c r="G1036" s="2"/>
      <c r="I1036" s="209"/>
      <c r="J1036" s="210"/>
      <c r="K1036" s="209"/>
      <c r="L1036" s="209"/>
      <c r="N1036" s="2"/>
      <c r="O1036" s="2"/>
      <c r="P1036" s="2"/>
      <c r="Q1036" s="2"/>
      <c r="R1036" s="2"/>
      <c r="S1036" s="2"/>
      <c r="T1036" s="10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IU1036" s="2"/>
      <c r="IV1036" s="2"/>
      <c r="IW1036" s="2"/>
      <c r="IX1036" s="2"/>
      <c r="IY1036" s="2"/>
      <c r="IZ1036" s="2"/>
      <c r="JA1036" s="2"/>
      <c r="JB1036" s="2"/>
      <c r="JC1036" s="2"/>
    </row>
    <row r="1037" customFormat="false" ht="15.75" hidden="false" customHeight="false" outlineLevel="0" collapsed="false">
      <c r="A1037" s="2"/>
      <c r="B1037" s="2"/>
      <c r="C1037" s="2"/>
      <c r="D1037" s="2"/>
      <c r="E1037" s="2"/>
      <c r="F1037" s="2"/>
      <c r="G1037" s="2"/>
      <c r="I1037" s="5"/>
      <c r="J1037" s="211"/>
      <c r="K1037" s="5"/>
      <c r="L1037" s="5"/>
      <c r="N1037" s="2"/>
      <c r="O1037" s="2"/>
      <c r="P1037" s="2"/>
      <c r="Q1037" s="2"/>
      <c r="R1037" s="2"/>
      <c r="S1037" s="2"/>
      <c r="T1037" s="10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IU1037" s="2"/>
      <c r="IV1037" s="2"/>
      <c r="IW1037" s="2"/>
      <c r="IX1037" s="2"/>
      <c r="IY1037" s="2"/>
      <c r="IZ1037" s="2"/>
      <c r="JA1037" s="2"/>
      <c r="JB1037" s="2"/>
      <c r="JC1037" s="2"/>
    </row>
    <row r="1038" customFormat="false" ht="15.75" hidden="false" customHeight="false" outlineLevel="0" collapsed="false">
      <c r="A1038" s="2"/>
      <c r="B1038" s="2"/>
      <c r="C1038" s="2"/>
      <c r="D1038" s="2"/>
      <c r="E1038" s="2"/>
      <c r="F1038" s="2"/>
      <c r="G1038" s="2"/>
      <c r="I1038" s="209"/>
      <c r="J1038" s="210"/>
      <c r="K1038" s="209"/>
      <c r="L1038" s="209"/>
      <c r="N1038" s="2"/>
      <c r="O1038" s="2"/>
      <c r="P1038" s="2"/>
      <c r="Q1038" s="2"/>
      <c r="R1038" s="2"/>
      <c r="S1038" s="2"/>
      <c r="T1038" s="10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IU1038" s="2"/>
      <c r="IV1038" s="2"/>
      <c r="IW1038" s="2"/>
      <c r="IX1038" s="2"/>
      <c r="IY1038" s="2"/>
      <c r="IZ1038" s="2"/>
      <c r="JA1038" s="2"/>
      <c r="JB1038" s="2"/>
      <c r="JC1038" s="2"/>
    </row>
    <row r="1039" customFormat="false" ht="15.75" hidden="false" customHeight="false" outlineLevel="0" collapsed="false">
      <c r="A1039" s="2"/>
      <c r="B1039" s="2"/>
      <c r="C1039" s="2"/>
      <c r="D1039" s="2"/>
      <c r="E1039" s="2"/>
      <c r="F1039" s="2"/>
      <c r="G1039" s="2"/>
      <c r="I1039" s="5"/>
      <c r="J1039" s="211"/>
      <c r="K1039" s="5"/>
      <c r="L1039" s="5"/>
      <c r="N1039" s="2"/>
      <c r="O1039" s="2"/>
      <c r="P1039" s="2"/>
      <c r="Q1039" s="2"/>
      <c r="R1039" s="2"/>
      <c r="S1039" s="2"/>
      <c r="T1039" s="10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IU1039" s="2"/>
      <c r="IV1039" s="2"/>
      <c r="IW1039" s="2"/>
      <c r="IX1039" s="2"/>
      <c r="IY1039" s="2"/>
      <c r="IZ1039" s="2"/>
      <c r="JA1039" s="2"/>
      <c r="JB1039" s="2"/>
      <c r="JC1039" s="2"/>
    </row>
    <row r="1040" customFormat="false" ht="15.75" hidden="false" customHeight="false" outlineLevel="0" collapsed="false">
      <c r="A1040" s="2"/>
      <c r="B1040" s="2"/>
      <c r="C1040" s="2"/>
      <c r="D1040" s="2"/>
      <c r="E1040" s="2"/>
      <c r="F1040" s="2"/>
      <c r="G1040" s="2"/>
      <c r="I1040" s="209"/>
      <c r="J1040" s="210"/>
      <c r="K1040" s="209"/>
      <c r="L1040" s="209"/>
      <c r="N1040" s="2"/>
      <c r="O1040" s="2"/>
      <c r="P1040" s="2"/>
      <c r="Q1040" s="2"/>
      <c r="R1040" s="2"/>
      <c r="S1040" s="2"/>
      <c r="T1040" s="10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IU1040" s="2"/>
      <c r="IV1040" s="2"/>
      <c r="IW1040" s="2"/>
      <c r="IX1040" s="2"/>
      <c r="IY1040" s="2"/>
      <c r="IZ1040" s="2"/>
      <c r="JA1040" s="2"/>
      <c r="JB1040" s="2"/>
      <c r="JC1040" s="2"/>
    </row>
    <row r="1041" customFormat="false" ht="15.75" hidden="false" customHeight="false" outlineLevel="0" collapsed="false">
      <c r="A1041" s="2"/>
      <c r="B1041" s="2"/>
      <c r="C1041" s="2"/>
      <c r="D1041" s="2"/>
      <c r="E1041" s="2"/>
      <c r="F1041" s="2"/>
      <c r="G1041" s="2"/>
      <c r="I1041" s="5"/>
      <c r="J1041" s="211"/>
      <c r="K1041" s="5"/>
      <c r="L1041" s="5"/>
      <c r="N1041" s="2"/>
      <c r="O1041" s="2"/>
      <c r="P1041" s="2"/>
      <c r="Q1041" s="2"/>
      <c r="R1041" s="2"/>
      <c r="S1041" s="2"/>
      <c r="T1041" s="10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IU1041" s="2"/>
      <c r="IV1041" s="2"/>
      <c r="IW1041" s="2"/>
      <c r="IX1041" s="2"/>
      <c r="IY1041" s="2"/>
      <c r="IZ1041" s="2"/>
      <c r="JA1041" s="2"/>
      <c r="JB1041" s="2"/>
      <c r="JC1041" s="2"/>
    </row>
    <row r="1042" customFormat="false" ht="15.75" hidden="false" customHeight="false" outlineLevel="0" collapsed="false">
      <c r="A1042" s="2"/>
      <c r="B1042" s="2"/>
      <c r="C1042" s="2"/>
      <c r="D1042" s="2"/>
      <c r="E1042" s="2"/>
      <c r="F1042" s="2"/>
      <c r="G1042" s="2"/>
      <c r="I1042" s="209"/>
      <c r="J1042" s="210"/>
      <c r="K1042" s="209"/>
      <c r="L1042" s="209"/>
      <c r="N1042" s="2"/>
      <c r="O1042" s="2"/>
      <c r="P1042" s="2"/>
      <c r="Q1042" s="2"/>
      <c r="R1042" s="2"/>
      <c r="S1042" s="2"/>
      <c r="T1042" s="10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IU1042" s="2"/>
      <c r="IV1042" s="2"/>
      <c r="IW1042" s="2"/>
      <c r="IX1042" s="2"/>
      <c r="IY1042" s="2"/>
      <c r="IZ1042" s="2"/>
      <c r="JA1042" s="2"/>
      <c r="JB1042" s="2"/>
      <c r="JC1042" s="2"/>
    </row>
    <row r="1043" customFormat="false" ht="15.75" hidden="false" customHeight="false" outlineLevel="0" collapsed="false">
      <c r="A1043" s="2"/>
      <c r="B1043" s="2"/>
      <c r="C1043" s="2"/>
      <c r="D1043" s="2"/>
      <c r="E1043" s="2"/>
      <c r="F1043" s="2"/>
      <c r="G1043" s="2"/>
      <c r="I1043" s="5"/>
      <c r="J1043" s="211"/>
      <c r="K1043" s="5"/>
      <c r="L1043" s="5"/>
      <c r="N1043" s="2"/>
      <c r="O1043" s="2"/>
      <c r="P1043" s="2"/>
      <c r="Q1043" s="2"/>
      <c r="R1043" s="2"/>
      <c r="S1043" s="2"/>
      <c r="T1043" s="10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IU1043" s="2"/>
      <c r="IV1043" s="2"/>
      <c r="IW1043" s="2"/>
      <c r="IX1043" s="2"/>
      <c r="IY1043" s="2"/>
      <c r="IZ1043" s="2"/>
      <c r="JA1043" s="2"/>
      <c r="JB1043" s="2"/>
      <c r="JC1043" s="2"/>
    </row>
    <row r="1044" customFormat="false" ht="15.75" hidden="false" customHeight="false" outlineLevel="0" collapsed="false">
      <c r="A1044" s="2"/>
      <c r="B1044" s="2"/>
      <c r="C1044" s="2"/>
      <c r="D1044" s="2"/>
      <c r="E1044" s="2"/>
      <c r="F1044" s="2"/>
      <c r="G1044" s="2"/>
      <c r="I1044" s="209"/>
      <c r="J1044" s="210"/>
      <c r="K1044" s="209"/>
      <c r="L1044" s="209"/>
      <c r="N1044" s="2"/>
      <c r="O1044" s="2"/>
      <c r="P1044" s="2"/>
      <c r="Q1044" s="2"/>
      <c r="R1044" s="2"/>
      <c r="S1044" s="2"/>
      <c r="T1044" s="10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IU1044" s="2"/>
      <c r="IV1044" s="2"/>
      <c r="IW1044" s="2"/>
      <c r="IX1044" s="2"/>
      <c r="IY1044" s="2"/>
      <c r="IZ1044" s="2"/>
      <c r="JA1044" s="2"/>
      <c r="JB1044" s="2"/>
      <c r="JC1044" s="2"/>
    </row>
    <row r="1045" customFormat="false" ht="15.75" hidden="false" customHeight="false" outlineLevel="0" collapsed="false">
      <c r="A1045" s="2"/>
      <c r="B1045" s="2"/>
      <c r="C1045" s="2"/>
      <c r="D1045" s="2"/>
      <c r="E1045" s="2"/>
      <c r="F1045" s="2"/>
      <c r="G1045" s="2"/>
      <c r="I1045" s="5"/>
      <c r="J1045" s="211"/>
      <c r="K1045" s="5"/>
      <c r="L1045" s="5"/>
      <c r="N1045" s="2"/>
      <c r="O1045" s="2"/>
      <c r="P1045" s="2"/>
      <c r="Q1045" s="2"/>
      <c r="R1045" s="2"/>
      <c r="S1045" s="2"/>
      <c r="T1045" s="10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IU1045" s="2"/>
      <c r="IV1045" s="2"/>
      <c r="IW1045" s="2"/>
      <c r="IX1045" s="2"/>
      <c r="IY1045" s="2"/>
      <c r="IZ1045" s="2"/>
      <c r="JA1045" s="2"/>
      <c r="JB1045" s="2"/>
      <c r="JC1045" s="2"/>
    </row>
    <row r="1046" customFormat="false" ht="15.75" hidden="false" customHeight="false" outlineLevel="0" collapsed="false">
      <c r="A1046" s="2"/>
      <c r="B1046" s="2"/>
      <c r="C1046" s="2"/>
      <c r="D1046" s="2"/>
      <c r="E1046" s="2"/>
      <c r="F1046" s="2"/>
      <c r="G1046" s="2"/>
      <c r="I1046" s="209"/>
      <c r="J1046" s="210"/>
      <c r="K1046" s="209"/>
      <c r="L1046" s="209"/>
      <c r="N1046" s="2"/>
      <c r="O1046" s="2"/>
      <c r="P1046" s="2"/>
      <c r="Q1046" s="2"/>
      <c r="R1046" s="2"/>
      <c r="S1046" s="2"/>
      <c r="T1046" s="10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IU1046" s="2"/>
      <c r="IV1046" s="2"/>
      <c r="IW1046" s="2"/>
      <c r="IX1046" s="2"/>
      <c r="IY1046" s="2"/>
      <c r="IZ1046" s="2"/>
      <c r="JA1046" s="2"/>
      <c r="JB1046" s="2"/>
      <c r="JC1046" s="2"/>
    </row>
    <row r="1047" customFormat="false" ht="15.75" hidden="false" customHeight="false" outlineLevel="0" collapsed="false">
      <c r="A1047" s="2"/>
      <c r="B1047" s="2"/>
      <c r="C1047" s="2"/>
      <c r="D1047" s="2"/>
      <c r="E1047" s="2"/>
      <c r="F1047" s="2"/>
      <c r="G1047" s="2"/>
      <c r="I1047" s="5"/>
      <c r="J1047" s="211"/>
      <c r="K1047" s="5"/>
      <c r="L1047" s="5"/>
      <c r="N1047" s="2"/>
      <c r="O1047" s="2"/>
      <c r="P1047" s="2"/>
      <c r="Q1047" s="2"/>
      <c r="R1047" s="2"/>
      <c r="S1047" s="2"/>
      <c r="T1047" s="10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IU1047" s="2"/>
      <c r="IV1047" s="2"/>
      <c r="IW1047" s="2"/>
      <c r="IX1047" s="2"/>
      <c r="IY1047" s="2"/>
      <c r="IZ1047" s="2"/>
      <c r="JA1047" s="2"/>
      <c r="JB1047" s="2"/>
      <c r="JC1047" s="2"/>
    </row>
    <row r="1048" customFormat="false" ht="15.75" hidden="false" customHeight="false" outlineLevel="0" collapsed="false">
      <c r="A1048" s="2"/>
      <c r="B1048" s="2"/>
      <c r="C1048" s="2"/>
      <c r="D1048" s="2"/>
      <c r="E1048" s="2"/>
      <c r="F1048" s="2"/>
      <c r="G1048" s="2"/>
      <c r="I1048" s="209"/>
      <c r="J1048" s="210"/>
      <c r="K1048" s="209"/>
      <c r="L1048" s="209"/>
      <c r="N1048" s="2"/>
      <c r="O1048" s="2"/>
      <c r="P1048" s="2"/>
      <c r="Q1048" s="2"/>
      <c r="R1048" s="2"/>
      <c r="S1048" s="2"/>
      <c r="T1048" s="10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IU1048" s="2"/>
      <c r="IV1048" s="2"/>
      <c r="IW1048" s="2"/>
      <c r="IX1048" s="2"/>
      <c r="IY1048" s="2"/>
      <c r="IZ1048" s="2"/>
      <c r="JA1048" s="2"/>
      <c r="JB1048" s="2"/>
      <c r="JC1048" s="2"/>
    </row>
    <row r="1049" customFormat="false" ht="15.75" hidden="false" customHeight="false" outlineLevel="0" collapsed="false">
      <c r="A1049" s="2"/>
      <c r="B1049" s="2"/>
      <c r="C1049" s="2"/>
      <c r="D1049" s="2"/>
      <c r="E1049" s="2"/>
      <c r="F1049" s="2"/>
      <c r="G1049" s="2"/>
      <c r="I1049" s="5"/>
      <c r="J1049" s="211"/>
      <c r="K1049" s="5"/>
      <c r="L1049" s="5"/>
      <c r="N1049" s="2"/>
      <c r="O1049" s="2"/>
      <c r="P1049" s="2"/>
      <c r="Q1049" s="2"/>
      <c r="R1049" s="2"/>
      <c r="S1049" s="2"/>
      <c r="T1049" s="10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IU1049" s="2"/>
      <c r="IV1049" s="2"/>
      <c r="IW1049" s="2"/>
      <c r="IX1049" s="2"/>
      <c r="IY1049" s="2"/>
      <c r="IZ1049" s="2"/>
      <c r="JA1049" s="2"/>
      <c r="JB1049" s="2"/>
      <c r="JC1049" s="2"/>
    </row>
    <row r="1050" customFormat="false" ht="15.75" hidden="false" customHeight="false" outlineLevel="0" collapsed="false">
      <c r="A1050" s="2"/>
      <c r="B1050" s="2"/>
      <c r="C1050" s="2"/>
      <c r="D1050" s="2"/>
      <c r="E1050" s="2"/>
      <c r="F1050" s="2"/>
      <c r="G1050" s="2"/>
      <c r="I1050" s="209"/>
      <c r="J1050" s="210"/>
      <c r="K1050" s="209"/>
      <c r="L1050" s="209"/>
      <c r="N1050" s="2"/>
      <c r="O1050" s="2"/>
      <c r="P1050" s="2"/>
      <c r="Q1050" s="2"/>
      <c r="R1050" s="2"/>
      <c r="S1050" s="2"/>
      <c r="T1050" s="10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IU1050" s="2"/>
      <c r="IV1050" s="2"/>
      <c r="IW1050" s="2"/>
      <c r="IX1050" s="2"/>
      <c r="IY1050" s="2"/>
      <c r="IZ1050" s="2"/>
      <c r="JA1050" s="2"/>
      <c r="JB1050" s="2"/>
      <c r="JC1050" s="2"/>
    </row>
    <row r="1051" customFormat="false" ht="15.75" hidden="false" customHeight="false" outlineLevel="0" collapsed="false">
      <c r="A1051" s="2"/>
      <c r="B1051" s="2"/>
      <c r="C1051" s="2"/>
      <c r="D1051" s="2"/>
      <c r="E1051" s="2"/>
      <c r="F1051" s="2"/>
      <c r="G1051" s="2"/>
      <c r="I1051" s="5"/>
      <c r="J1051" s="211"/>
      <c r="K1051" s="5"/>
      <c r="L1051" s="5"/>
      <c r="N1051" s="2"/>
      <c r="O1051" s="2"/>
      <c r="P1051" s="2"/>
      <c r="Q1051" s="2"/>
      <c r="R1051" s="2"/>
      <c r="S1051" s="2"/>
      <c r="T1051" s="10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IU1051" s="2"/>
      <c r="IV1051" s="2"/>
      <c r="IW1051" s="2"/>
      <c r="IX1051" s="2"/>
      <c r="IY1051" s="2"/>
      <c r="IZ1051" s="2"/>
      <c r="JA1051" s="2"/>
      <c r="JB1051" s="2"/>
      <c r="JC1051" s="2"/>
    </row>
    <row r="1052" customFormat="false" ht="15.75" hidden="false" customHeight="false" outlineLevel="0" collapsed="false">
      <c r="A1052" s="2"/>
      <c r="B1052" s="2"/>
      <c r="C1052" s="2"/>
      <c r="D1052" s="2"/>
      <c r="E1052" s="2"/>
      <c r="F1052" s="2"/>
      <c r="G1052" s="2"/>
      <c r="I1052" s="209"/>
      <c r="J1052" s="210"/>
      <c r="K1052" s="209"/>
      <c r="L1052" s="209"/>
      <c r="N1052" s="2"/>
      <c r="O1052" s="2"/>
      <c r="P1052" s="2"/>
      <c r="Q1052" s="2"/>
      <c r="R1052" s="2"/>
      <c r="S1052" s="2"/>
      <c r="T1052" s="10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IU1052" s="2"/>
      <c r="IV1052" s="2"/>
      <c r="IW1052" s="2"/>
      <c r="IX1052" s="2"/>
      <c r="IY1052" s="2"/>
      <c r="IZ1052" s="2"/>
      <c r="JA1052" s="2"/>
      <c r="JB1052" s="2"/>
      <c r="JC1052" s="2"/>
    </row>
    <row r="1053" customFormat="false" ht="15.75" hidden="false" customHeight="false" outlineLevel="0" collapsed="false">
      <c r="A1053" s="2"/>
      <c r="B1053" s="2"/>
      <c r="C1053" s="2"/>
      <c r="D1053" s="2"/>
      <c r="E1053" s="2"/>
      <c r="F1053" s="2"/>
      <c r="G1053" s="2"/>
      <c r="I1053" s="5"/>
      <c r="J1053" s="211"/>
      <c r="K1053" s="5"/>
      <c r="L1053" s="5"/>
      <c r="N1053" s="2"/>
      <c r="O1053" s="2"/>
      <c r="P1053" s="2"/>
      <c r="Q1053" s="2"/>
      <c r="R1053" s="2"/>
      <c r="S1053" s="2"/>
      <c r="T1053" s="10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IU1053" s="2"/>
      <c r="IV1053" s="2"/>
      <c r="IW1053" s="2"/>
      <c r="IX1053" s="2"/>
      <c r="IY1053" s="2"/>
      <c r="IZ1053" s="2"/>
      <c r="JA1053" s="2"/>
      <c r="JB1053" s="2"/>
      <c r="JC1053" s="2"/>
    </row>
    <row r="1054" customFormat="false" ht="15.75" hidden="false" customHeight="false" outlineLevel="0" collapsed="false">
      <c r="A1054" s="2"/>
      <c r="B1054" s="2"/>
      <c r="C1054" s="2"/>
      <c r="D1054" s="2"/>
      <c r="E1054" s="2"/>
      <c r="F1054" s="2"/>
      <c r="G1054" s="2"/>
      <c r="I1054" s="209"/>
      <c r="J1054" s="210"/>
      <c r="K1054" s="209"/>
      <c r="L1054" s="209"/>
      <c r="N1054" s="2"/>
      <c r="O1054" s="2"/>
      <c r="P1054" s="2"/>
      <c r="Q1054" s="2"/>
      <c r="R1054" s="2"/>
      <c r="S1054" s="2"/>
      <c r="T1054" s="10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IU1054" s="2"/>
      <c r="IV1054" s="2"/>
      <c r="IW1054" s="2"/>
      <c r="IX1054" s="2"/>
      <c r="IY1054" s="2"/>
      <c r="IZ1054" s="2"/>
      <c r="JA1054" s="2"/>
      <c r="JB1054" s="2"/>
      <c r="JC1054" s="2"/>
    </row>
    <row r="1055" customFormat="false" ht="15.75" hidden="false" customHeight="false" outlineLevel="0" collapsed="false">
      <c r="A1055" s="2"/>
      <c r="B1055" s="2"/>
      <c r="C1055" s="2"/>
      <c r="D1055" s="2"/>
      <c r="E1055" s="2"/>
      <c r="F1055" s="2"/>
      <c r="G1055" s="2"/>
      <c r="I1055" s="5"/>
      <c r="J1055" s="211"/>
      <c r="K1055" s="5"/>
      <c r="L1055" s="5"/>
      <c r="N1055" s="2"/>
      <c r="O1055" s="2"/>
      <c r="P1055" s="2"/>
      <c r="Q1055" s="2"/>
      <c r="R1055" s="2"/>
      <c r="S1055" s="2"/>
      <c r="T1055" s="10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IU1055" s="2"/>
      <c r="IV1055" s="2"/>
      <c r="IW1055" s="2"/>
      <c r="IX1055" s="2"/>
      <c r="IY1055" s="2"/>
      <c r="IZ1055" s="2"/>
      <c r="JA1055" s="2"/>
      <c r="JB1055" s="2"/>
      <c r="JC1055" s="2"/>
    </row>
    <row r="1056" customFormat="false" ht="15.75" hidden="false" customHeight="false" outlineLevel="0" collapsed="false">
      <c r="A1056" s="2"/>
      <c r="B1056" s="2"/>
      <c r="C1056" s="2"/>
      <c r="D1056" s="2"/>
      <c r="E1056" s="2"/>
      <c r="F1056" s="2"/>
      <c r="G1056" s="2"/>
      <c r="I1056" s="209"/>
      <c r="J1056" s="210"/>
      <c r="K1056" s="209"/>
      <c r="L1056" s="209"/>
      <c r="N1056" s="2"/>
      <c r="O1056" s="2"/>
      <c r="P1056" s="2"/>
      <c r="Q1056" s="2"/>
      <c r="R1056" s="2"/>
      <c r="S1056" s="2"/>
      <c r="T1056" s="10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IU1056" s="2"/>
      <c r="IV1056" s="2"/>
      <c r="IW1056" s="2"/>
      <c r="IX1056" s="2"/>
      <c r="IY1056" s="2"/>
      <c r="IZ1056" s="2"/>
      <c r="JA1056" s="2"/>
      <c r="JB1056" s="2"/>
      <c r="JC1056" s="2"/>
    </row>
    <row r="1057" customFormat="false" ht="15.75" hidden="false" customHeight="false" outlineLevel="0" collapsed="false">
      <c r="A1057" s="2"/>
      <c r="B1057" s="2"/>
      <c r="C1057" s="2"/>
      <c r="D1057" s="2"/>
      <c r="E1057" s="2"/>
      <c r="F1057" s="2"/>
      <c r="G1057" s="2"/>
      <c r="I1057" s="5"/>
      <c r="J1057" s="211"/>
      <c r="K1057" s="5"/>
      <c r="L1057" s="5"/>
      <c r="N1057" s="2"/>
      <c r="O1057" s="2"/>
      <c r="P1057" s="2"/>
      <c r="Q1057" s="2"/>
      <c r="R1057" s="2"/>
      <c r="S1057" s="2"/>
      <c r="T1057" s="10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IU1057" s="2"/>
      <c r="IV1057" s="2"/>
      <c r="IW1057" s="2"/>
      <c r="IX1057" s="2"/>
      <c r="IY1057" s="2"/>
      <c r="IZ1057" s="2"/>
      <c r="JA1057" s="2"/>
      <c r="JB1057" s="2"/>
      <c r="JC1057" s="2"/>
    </row>
    <row r="1058" customFormat="false" ht="15.75" hidden="false" customHeight="false" outlineLevel="0" collapsed="false">
      <c r="A1058" s="2"/>
      <c r="B1058" s="2"/>
      <c r="C1058" s="2"/>
      <c r="D1058" s="2"/>
      <c r="E1058" s="2"/>
      <c r="F1058" s="2"/>
      <c r="G1058" s="2"/>
      <c r="I1058" s="209"/>
      <c r="J1058" s="210"/>
      <c r="K1058" s="209"/>
      <c r="L1058" s="209"/>
      <c r="N1058" s="2"/>
      <c r="O1058" s="2"/>
      <c r="P1058" s="2"/>
      <c r="Q1058" s="2"/>
      <c r="R1058" s="2"/>
      <c r="S1058" s="2"/>
      <c r="T1058" s="10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IU1058" s="2"/>
      <c r="IV1058" s="2"/>
      <c r="IW1058" s="2"/>
      <c r="IX1058" s="2"/>
      <c r="IY1058" s="2"/>
      <c r="IZ1058" s="2"/>
      <c r="JA1058" s="2"/>
      <c r="JB1058" s="2"/>
      <c r="JC1058" s="2"/>
    </row>
    <row r="1059" customFormat="false" ht="15.75" hidden="false" customHeight="false" outlineLevel="0" collapsed="false">
      <c r="A1059" s="2"/>
      <c r="B1059" s="2"/>
      <c r="C1059" s="2"/>
      <c r="D1059" s="2"/>
      <c r="E1059" s="2"/>
      <c r="F1059" s="2"/>
      <c r="G1059" s="2"/>
      <c r="I1059" s="5"/>
      <c r="J1059" s="211"/>
      <c r="K1059" s="5"/>
      <c r="L1059" s="5"/>
      <c r="N1059" s="2"/>
      <c r="O1059" s="2"/>
      <c r="P1059" s="2"/>
      <c r="Q1059" s="2"/>
      <c r="R1059" s="2"/>
      <c r="S1059" s="2"/>
      <c r="T1059" s="10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IU1059" s="2"/>
      <c r="IV1059" s="2"/>
      <c r="IW1059" s="2"/>
      <c r="IX1059" s="2"/>
      <c r="IY1059" s="2"/>
      <c r="IZ1059" s="2"/>
      <c r="JA1059" s="2"/>
      <c r="JB1059" s="2"/>
      <c r="JC1059" s="2"/>
    </row>
    <row r="1060" customFormat="false" ht="15.75" hidden="false" customHeight="false" outlineLevel="0" collapsed="false">
      <c r="A1060" s="2"/>
      <c r="B1060" s="2"/>
      <c r="C1060" s="2"/>
      <c r="D1060" s="2"/>
      <c r="E1060" s="2"/>
      <c r="F1060" s="2"/>
      <c r="G1060" s="2"/>
      <c r="I1060" s="209"/>
      <c r="J1060" s="210"/>
      <c r="K1060" s="209"/>
      <c r="L1060" s="209"/>
      <c r="N1060" s="2"/>
      <c r="O1060" s="2"/>
      <c r="P1060" s="2"/>
      <c r="Q1060" s="2"/>
      <c r="R1060" s="2"/>
      <c r="S1060" s="2"/>
      <c r="T1060" s="10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IU1060" s="2"/>
      <c r="IV1060" s="2"/>
      <c r="IW1060" s="2"/>
      <c r="IX1060" s="2"/>
      <c r="IY1060" s="2"/>
      <c r="IZ1060" s="2"/>
      <c r="JA1060" s="2"/>
      <c r="JB1060" s="2"/>
      <c r="JC1060" s="2"/>
    </row>
    <row r="1061" customFormat="false" ht="15.75" hidden="false" customHeight="false" outlineLevel="0" collapsed="false">
      <c r="A1061" s="2"/>
      <c r="B1061" s="2"/>
      <c r="C1061" s="2"/>
      <c r="D1061" s="2"/>
      <c r="E1061" s="2"/>
      <c r="F1061" s="2"/>
      <c r="G1061" s="2"/>
      <c r="I1061" s="5"/>
      <c r="J1061" s="211"/>
      <c r="K1061" s="5"/>
      <c r="L1061" s="5"/>
      <c r="N1061" s="2"/>
      <c r="O1061" s="2"/>
      <c r="P1061" s="2"/>
      <c r="Q1061" s="2"/>
      <c r="R1061" s="2"/>
      <c r="S1061" s="2"/>
      <c r="T1061" s="10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IU1061" s="2"/>
      <c r="IV1061" s="2"/>
      <c r="IW1061" s="2"/>
      <c r="IX1061" s="2"/>
      <c r="IY1061" s="2"/>
      <c r="IZ1061" s="2"/>
      <c r="JA1061" s="2"/>
      <c r="JB1061" s="2"/>
      <c r="JC1061" s="2"/>
    </row>
    <row r="1062" customFormat="false" ht="15.75" hidden="false" customHeight="false" outlineLevel="0" collapsed="false">
      <c r="A1062" s="2"/>
      <c r="B1062" s="2"/>
      <c r="C1062" s="2"/>
      <c r="D1062" s="2"/>
      <c r="E1062" s="2"/>
      <c r="F1062" s="2"/>
      <c r="G1062" s="2"/>
      <c r="I1062" s="209"/>
      <c r="J1062" s="210"/>
      <c r="K1062" s="209"/>
      <c r="L1062" s="209"/>
      <c r="N1062" s="2"/>
      <c r="O1062" s="2"/>
      <c r="P1062" s="2"/>
      <c r="Q1062" s="2"/>
      <c r="R1062" s="2"/>
      <c r="S1062" s="2"/>
      <c r="T1062" s="10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IU1062" s="2"/>
      <c r="IV1062" s="2"/>
      <c r="IW1062" s="2"/>
      <c r="IX1062" s="2"/>
      <c r="IY1062" s="2"/>
      <c r="IZ1062" s="2"/>
      <c r="JA1062" s="2"/>
      <c r="JB1062" s="2"/>
      <c r="JC1062" s="2"/>
    </row>
    <row r="1063" customFormat="false" ht="15.75" hidden="false" customHeight="false" outlineLevel="0" collapsed="false">
      <c r="A1063" s="2"/>
      <c r="B1063" s="2"/>
      <c r="C1063" s="2"/>
      <c r="D1063" s="2"/>
      <c r="E1063" s="2"/>
      <c r="F1063" s="2"/>
      <c r="G1063" s="2"/>
      <c r="I1063" s="5"/>
      <c r="J1063" s="211"/>
      <c r="K1063" s="5"/>
      <c r="L1063" s="5"/>
      <c r="N1063" s="2"/>
      <c r="O1063" s="2"/>
      <c r="P1063" s="2"/>
      <c r="Q1063" s="2"/>
      <c r="R1063" s="2"/>
      <c r="S1063" s="2"/>
      <c r="T1063" s="10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IU1063" s="2"/>
      <c r="IV1063" s="2"/>
      <c r="IW1063" s="2"/>
      <c r="IX1063" s="2"/>
      <c r="IY1063" s="2"/>
      <c r="IZ1063" s="2"/>
      <c r="JA1063" s="2"/>
      <c r="JB1063" s="2"/>
      <c r="JC1063" s="2"/>
    </row>
    <row r="1064" customFormat="false" ht="15.75" hidden="false" customHeight="false" outlineLevel="0" collapsed="false">
      <c r="A1064" s="2"/>
      <c r="B1064" s="2"/>
      <c r="C1064" s="2"/>
      <c r="D1064" s="2"/>
      <c r="E1064" s="2"/>
      <c r="F1064" s="2"/>
      <c r="G1064" s="2"/>
      <c r="I1064" s="209"/>
      <c r="J1064" s="210"/>
      <c r="K1064" s="209"/>
      <c r="L1064" s="209"/>
      <c r="N1064" s="2"/>
      <c r="O1064" s="2"/>
      <c r="P1064" s="2"/>
      <c r="Q1064" s="2"/>
      <c r="R1064" s="2"/>
      <c r="S1064" s="2"/>
      <c r="T1064" s="10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IU1064" s="2"/>
      <c r="IV1064" s="2"/>
      <c r="IW1064" s="2"/>
      <c r="IX1064" s="2"/>
      <c r="IY1064" s="2"/>
      <c r="IZ1064" s="2"/>
      <c r="JA1064" s="2"/>
      <c r="JB1064" s="2"/>
      <c r="JC1064" s="2"/>
    </row>
    <row r="1065" customFormat="false" ht="15.75" hidden="false" customHeight="false" outlineLevel="0" collapsed="false">
      <c r="A1065" s="2"/>
      <c r="B1065" s="2"/>
      <c r="C1065" s="2"/>
      <c r="D1065" s="2"/>
      <c r="E1065" s="2"/>
      <c r="F1065" s="2"/>
      <c r="G1065" s="2"/>
      <c r="I1065" s="5"/>
      <c r="J1065" s="211"/>
      <c r="K1065" s="5"/>
      <c r="L1065" s="5"/>
      <c r="N1065" s="2"/>
      <c r="O1065" s="2"/>
      <c r="P1065" s="2"/>
      <c r="Q1065" s="2"/>
      <c r="R1065" s="2"/>
      <c r="S1065" s="2"/>
      <c r="T1065" s="10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IU1065" s="2"/>
      <c r="IV1065" s="2"/>
      <c r="IW1065" s="2"/>
      <c r="IX1065" s="2"/>
      <c r="IY1065" s="2"/>
      <c r="IZ1065" s="2"/>
      <c r="JA1065" s="2"/>
      <c r="JB1065" s="2"/>
      <c r="JC1065" s="2"/>
    </row>
    <row r="1066" customFormat="false" ht="15.75" hidden="false" customHeight="false" outlineLevel="0" collapsed="false">
      <c r="A1066" s="2"/>
      <c r="B1066" s="2"/>
      <c r="C1066" s="2"/>
      <c r="D1066" s="2"/>
      <c r="E1066" s="2"/>
      <c r="F1066" s="2"/>
      <c r="G1066" s="2"/>
      <c r="I1066" s="209"/>
      <c r="J1066" s="210"/>
      <c r="K1066" s="209"/>
      <c r="L1066" s="209"/>
      <c r="N1066" s="2"/>
      <c r="O1066" s="2"/>
      <c r="P1066" s="2"/>
      <c r="Q1066" s="2"/>
      <c r="R1066" s="2"/>
      <c r="S1066" s="2"/>
      <c r="T1066" s="10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IU1066" s="2"/>
      <c r="IV1066" s="2"/>
      <c r="IW1066" s="2"/>
      <c r="IX1066" s="2"/>
      <c r="IY1066" s="2"/>
      <c r="IZ1066" s="2"/>
      <c r="JA1066" s="2"/>
      <c r="JB1066" s="2"/>
      <c r="JC1066" s="2"/>
    </row>
    <row r="1067" customFormat="false" ht="15.75" hidden="false" customHeight="false" outlineLevel="0" collapsed="false">
      <c r="A1067" s="2"/>
      <c r="B1067" s="2"/>
      <c r="C1067" s="2"/>
      <c r="D1067" s="2"/>
      <c r="E1067" s="2"/>
      <c r="F1067" s="2"/>
      <c r="G1067" s="2"/>
      <c r="I1067" s="5"/>
      <c r="J1067" s="211"/>
      <c r="K1067" s="5"/>
      <c r="L1067" s="5"/>
      <c r="N1067" s="2"/>
      <c r="O1067" s="2"/>
      <c r="P1067" s="2"/>
      <c r="Q1067" s="2"/>
      <c r="R1067" s="2"/>
      <c r="S1067" s="2"/>
      <c r="T1067" s="10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IU1067" s="2"/>
      <c r="IV1067" s="2"/>
      <c r="IW1067" s="2"/>
      <c r="IX1067" s="2"/>
      <c r="IY1067" s="2"/>
      <c r="IZ1067" s="2"/>
      <c r="JA1067" s="2"/>
      <c r="JB1067" s="2"/>
      <c r="JC1067" s="2"/>
    </row>
    <row r="1068" customFormat="false" ht="15.75" hidden="false" customHeight="false" outlineLevel="0" collapsed="false">
      <c r="A1068" s="2"/>
      <c r="B1068" s="2"/>
      <c r="C1068" s="2"/>
      <c r="D1068" s="2"/>
      <c r="E1068" s="2"/>
      <c r="F1068" s="2"/>
      <c r="G1068" s="2"/>
      <c r="I1068" s="209"/>
      <c r="J1068" s="210"/>
      <c r="K1068" s="209"/>
      <c r="L1068" s="209"/>
      <c r="N1068" s="2"/>
      <c r="O1068" s="2"/>
      <c r="P1068" s="2"/>
      <c r="Q1068" s="2"/>
      <c r="R1068" s="2"/>
      <c r="S1068" s="2"/>
      <c r="T1068" s="10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IU1068" s="2"/>
      <c r="IV1068" s="2"/>
      <c r="IW1068" s="2"/>
      <c r="IX1068" s="2"/>
      <c r="IY1068" s="2"/>
      <c r="IZ1068" s="2"/>
      <c r="JA1068" s="2"/>
      <c r="JB1068" s="2"/>
      <c r="JC1068" s="2"/>
    </row>
    <row r="1069" customFormat="false" ht="15.75" hidden="false" customHeight="false" outlineLevel="0" collapsed="false">
      <c r="A1069" s="2"/>
      <c r="B1069" s="2"/>
      <c r="C1069" s="2"/>
      <c r="D1069" s="2"/>
      <c r="E1069" s="2"/>
      <c r="F1069" s="2"/>
      <c r="G1069" s="2"/>
      <c r="I1069" s="5"/>
      <c r="J1069" s="211"/>
      <c r="K1069" s="5"/>
      <c r="L1069" s="5"/>
      <c r="N1069" s="2"/>
      <c r="O1069" s="2"/>
      <c r="P1069" s="2"/>
      <c r="Q1069" s="2"/>
      <c r="R1069" s="2"/>
      <c r="S1069" s="2"/>
      <c r="T1069" s="10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IU1069" s="2"/>
      <c r="IV1069" s="2"/>
      <c r="IW1069" s="2"/>
      <c r="IX1069" s="2"/>
      <c r="IY1069" s="2"/>
      <c r="IZ1069" s="2"/>
      <c r="JA1069" s="2"/>
      <c r="JB1069" s="2"/>
      <c r="JC1069" s="2"/>
    </row>
    <row r="1070" customFormat="false" ht="15.75" hidden="false" customHeight="false" outlineLevel="0" collapsed="false">
      <c r="A1070" s="2"/>
      <c r="B1070" s="2"/>
      <c r="C1070" s="2"/>
      <c r="D1070" s="2"/>
      <c r="E1070" s="2"/>
      <c r="F1070" s="2"/>
      <c r="G1070" s="2"/>
      <c r="I1070" s="209"/>
      <c r="J1070" s="210"/>
      <c r="K1070" s="209"/>
      <c r="L1070" s="209"/>
      <c r="N1070" s="2"/>
      <c r="O1070" s="2"/>
      <c r="P1070" s="2"/>
      <c r="Q1070" s="2"/>
      <c r="R1070" s="2"/>
      <c r="S1070" s="2"/>
      <c r="T1070" s="10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IU1070" s="2"/>
      <c r="IV1070" s="2"/>
      <c r="IW1070" s="2"/>
      <c r="IX1070" s="2"/>
      <c r="IY1070" s="2"/>
      <c r="IZ1070" s="2"/>
      <c r="JA1070" s="2"/>
      <c r="JB1070" s="2"/>
      <c r="JC1070" s="2"/>
    </row>
    <row r="1071" customFormat="false" ht="15.75" hidden="false" customHeight="false" outlineLevel="0" collapsed="false">
      <c r="A1071" s="2"/>
      <c r="B1071" s="2"/>
      <c r="C1071" s="2"/>
      <c r="D1071" s="2"/>
      <c r="E1071" s="2"/>
      <c r="F1071" s="2"/>
      <c r="G1071" s="2"/>
      <c r="I1071" s="5"/>
      <c r="J1071" s="211"/>
      <c r="K1071" s="5"/>
      <c r="L1071" s="5"/>
      <c r="N1071" s="2"/>
      <c r="O1071" s="2"/>
      <c r="P1071" s="2"/>
      <c r="Q1071" s="2"/>
      <c r="R1071" s="2"/>
      <c r="S1071" s="2"/>
      <c r="T1071" s="10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IU1071" s="2"/>
      <c r="IV1071" s="2"/>
      <c r="IW1071" s="2"/>
      <c r="IX1071" s="2"/>
      <c r="IY1071" s="2"/>
      <c r="IZ1071" s="2"/>
      <c r="JA1071" s="2"/>
      <c r="JB1071" s="2"/>
      <c r="JC1071" s="2"/>
    </row>
    <row r="1072" customFormat="false" ht="15.75" hidden="false" customHeight="false" outlineLevel="0" collapsed="false">
      <c r="A1072" s="2"/>
      <c r="B1072" s="2"/>
      <c r="C1072" s="2"/>
      <c r="D1072" s="2"/>
      <c r="E1072" s="2"/>
      <c r="F1072" s="2"/>
      <c r="G1072" s="2"/>
      <c r="I1072" s="209"/>
      <c r="J1072" s="210"/>
      <c r="K1072" s="209"/>
      <c r="L1072" s="209"/>
      <c r="N1072" s="2"/>
      <c r="O1072" s="2"/>
      <c r="P1072" s="2"/>
      <c r="Q1072" s="2"/>
      <c r="R1072" s="2"/>
      <c r="S1072" s="2"/>
      <c r="T1072" s="10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IU1072" s="2"/>
      <c r="IV1072" s="2"/>
      <c r="IW1072" s="2"/>
      <c r="IX1072" s="2"/>
      <c r="IY1072" s="2"/>
      <c r="IZ1072" s="2"/>
      <c r="JA1072" s="2"/>
      <c r="JB1072" s="2"/>
      <c r="JC1072" s="2"/>
    </row>
    <row r="1073" customFormat="false" ht="15.75" hidden="false" customHeight="false" outlineLevel="0" collapsed="false">
      <c r="A1073" s="2"/>
      <c r="B1073" s="2"/>
      <c r="C1073" s="2"/>
      <c r="D1073" s="2"/>
      <c r="E1073" s="2"/>
      <c r="F1073" s="2"/>
      <c r="G1073" s="2"/>
      <c r="I1073" s="5"/>
      <c r="J1073" s="211"/>
      <c r="K1073" s="5"/>
      <c r="L1073" s="5"/>
      <c r="N1073" s="2"/>
      <c r="O1073" s="2"/>
      <c r="P1073" s="2"/>
      <c r="Q1073" s="2"/>
      <c r="R1073" s="2"/>
      <c r="S1073" s="2"/>
      <c r="T1073" s="10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IU1073" s="2"/>
      <c r="IV1073" s="2"/>
      <c r="IW1073" s="2"/>
      <c r="IX1073" s="2"/>
      <c r="IY1073" s="2"/>
      <c r="IZ1073" s="2"/>
      <c r="JA1073" s="2"/>
      <c r="JB1073" s="2"/>
      <c r="JC1073" s="2"/>
    </row>
    <row r="1074" customFormat="false" ht="15.75" hidden="false" customHeight="false" outlineLevel="0" collapsed="false">
      <c r="A1074" s="2"/>
      <c r="B1074" s="2"/>
      <c r="C1074" s="2"/>
      <c r="D1074" s="2"/>
      <c r="E1074" s="2"/>
      <c r="F1074" s="2"/>
      <c r="G1074" s="2"/>
      <c r="I1074" s="209"/>
      <c r="J1074" s="210"/>
      <c r="K1074" s="209"/>
      <c r="L1074" s="209"/>
      <c r="N1074" s="2"/>
      <c r="O1074" s="2"/>
      <c r="P1074" s="2"/>
      <c r="Q1074" s="2"/>
      <c r="R1074" s="2"/>
      <c r="S1074" s="2"/>
      <c r="T1074" s="10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IU1074" s="2"/>
      <c r="IV1074" s="2"/>
      <c r="IW1074" s="2"/>
      <c r="IX1074" s="2"/>
      <c r="IY1074" s="2"/>
      <c r="IZ1074" s="2"/>
      <c r="JA1074" s="2"/>
      <c r="JB1074" s="2"/>
      <c r="JC1074" s="2"/>
    </row>
    <row r="1075" customFormat="false" ht="15.75" hidden="false" customHeight="false" outlineLevel="0" collapsed="false">
      <c r="A1075" s="2"/>
      <c r="B1075" s="2"/>
      <c r="C1075" s="2"/>
      <c r="D1075" s="2"/>
      <c r="E1075" s="2"/>
      <c r="F1075" s="2"/>
      <c r="G1075" s="2"/>
      <c r="I1075" s="5"/>
      <c r="J1075" s="211"/>
      <c r="K1075" s="5"/>
      <c r="L1075" s="5"/>
      <c r="N1075" s="2"/>
      <c r="O1075" s="2"/>
      <c r="P1075" s="2"/>
      <c r="Q1075" s="2"/>
      <c r="R1075" s="2"/>
      <c r="S1075" s="2"/>
      <c r="T1075" s="10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IU1075" s="2"/>
      <c r="IV1075" s="2"/>
      <c r="IW1075" s="2"/>
      <c r="IX1075" s="2"/>
      <c r="IY1075" s="2"/>
      <c r="IZ1075" s="2"/>
      <c r="JA1075" s="2"/>
      <c r="JB1075" s="2"/>
      <c r="JC1075" s="2"/>
    </row>
    <row r="1076" customFormat="false" ht="15.75" hidden="false" customHeight="false" outlineLevel="0" collapsed="false">
      <c r="A1076" s="2"/>
      <c r="B1076" s="2"/>
      <c r="C1076" s="2"/>
      <c r="D1076" s="2"/>
      <c r="E1076" s="2"/>
      <c r="F1076" s="2"/>
      <c r="G1076" s="2"/>
      <c r="I1076" s="209"/>
      <c r="J1076" s="210"/>
      <c r="K1076" s="209"/>
      <c r="L1076" s="209"/>
      <c r="N1076" s="2"/>
      <c r="O1076" s="2"/>
      <c r="P1076" s="2"/>
      <c r="Q1076" s="2"/>
      <c r="R1076" s="2"/>
      <c r="S1076" s="2"/>
      <c r="T1076" s="10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IU1076" s="2"/>
      <c r="IV1076" s="2"/>
      <c r="IW1076" s="2"/>
      <c r="IX1076" s="2"/>
      <c r="IY1076" s="2"/>
      <c r="IZ1076" s="2"/>
      <c r="JA1076" s="2"/>
      <c r="JB1076" s="2"/>
      <c r="JC1076" s="2"/>
    </row>
    <row r="1077" customFormat="false" ht="15.75" hidden="false" customHeight="false" outlineLevel="0" collapsed="false">
      <c r="A1077" s="2"/>
      <c r="B1077" s="2"/>
      <c r="C1077" s="2"/>
      <c r="D1077" s="2"/>
      <c r="E1077" s="2"/>
      <c r="F1077" s="2"/>
      <c r="G1077" s="2"/>
      <c r="I1077" s="5"/>
      <c r="J1077" s="211"/>
      <c r="K1077" s="5"/>
      <c r="L1077" s="5"/>
      <c r="N1077" s="2"/>
      <c r="O1077" s="2"/>
      <c r="P1077" s="2"/>
      <c r="Q1077" s="2"/>
      <c r="R1077" s="2"/>
      <c r="S1077" s="2"/>
      <c r="T1077" s="10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IU1077" s="2"/>
      <c r="IV1077" s="2"/>
      <c r="IW1077" s="2"/>
      <c r="IX1077" s="2"/>
      <c r="IY1077" s="2"/>
      <c r="IZ1077" s="2"/>
      <c r="JA1077" s="2"/>
      <c r="JB1077" s="2"/>
      <c r="JC1077" s="2"/>
    </row>
    <row r="1078" customFormat="false" ht="15.75" hidden="false" customHeight="false" outlineLevel="0" collapsed="false">
      <c r="A1078" s="2"/>
      <c r="B1078" s="2"/>
      <c r="C1078" s="2"/>
      <c r="D1078" s="2"/>
      <c r="E1078" s="2"/>
      <c r="F1078" s="2"/>
      <c r="G1078" s="2"/>
      <c r="I1078" s="209"/>
      <c r="J1078" s="210"/>
      <c r="K1078" s="209"/>
      <c r="L1078" s="209"/>
      <c r="N1078" s="2"/>
      <c r="O1078" s="2"/>
      <c r="P1078" s="2"/>
      <c r="Q1078" s="2"/>
      <c r="R1078" s="2"/>
      <c r="S1078" s="2"/>
      <c r="T1078" s="10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IU1078" s="2"/>
      <c r="IV1078" s="2"/>
      <c r="IW1078" s="2"/>
      <c r="IX1078" s="2"/>
      <c r="IY1078" s="2"/>
      <c r="IZ1078" s="2"/>
      <c r="JA1078" s="2"/>
      <c r="JB1078" s="2"/>
      <c r="JC1078" s="2"/>
    </row>
    <row r="1079" customFormat="false" ht="15.75" hidden="false" customHeight="false" outlineLevel="0" collapsed="false">
      <c r="A1079" s="2"/>
      <c r="B1079" s="2"/>
      <c r="C1079" s="2"/>
      <c r="D1079" s="2"/>
      <c r="E1079" s="2"/>
      <c r="F1079" s="2"/>
      <c r="G1079" s="2"/>
      <c r="I1079" s="5"/>
      <c r="J1079" s="211"/>
      <c r="K1079" s="5"/>
      <c r="L1079" s="5"/>
      <c r="N1079" s="2"/>
      <c r="O1079" s="2"/>
      <c r="P1079" s="2"/>
      <c r="Q1079" s="2"/>
      <c r="R1079" s="2"/>
      <c r="S1079" s="2"/>
      <c r="T1079" s="10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IU1079" s="2"/>
      <c r="IV1079" s="2"/>
      <c r="IW1079" s="2"/>
      <c r="IX1079" s="2"/>
      <c r="IY1079" s="2"/>
      <c r="IZ1079" s="2"/>
      <c r="JA1079" s="2"/>
      <c r="JB1079" s="2"/>
      <c r="JC1079" s="2"/>
    </row>
    <row r="1080" customFormat="false" ht="15.75" hidden="false" customHeight="false" outlineLevel="0" collapsed="false">
      <c r="A1080" s="2"/>
      <c r="B1080" s="2"/>
      <c r="C1080" s="2"/>
      <c r="D1080" s="2"/>
      <c r="E1080" s="2"/>
      <c r="F1080" s="2"/>
      <c r="G1080" s="2"/>
      <c r="I1080" s="209"/>
      <c r="J1080" s="210"/>
      <c r="K1080" s="209"/>
      <c r="L1080" s="209"/>
      <c r="N1080" s="2"/>
      <c r="O1080" s="2"/>
      <c r="P1080" s="2"/>
      <c r="Q1080" s="2"/>
      <c r="R1080" s="2"/>
      <c r="S1080" s="2"/>
      <c r="T1080" s="10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IU1080" s="2"/>
      <c r="IV1080" s="2"/>
      <c r="IW1080" s="2"/>
      <c r="IX1080" s="2"/>
      <c r="IY1080" s="2"/>
      <c r="IZ1080" s="2"/>
      <c r="JA1080" s="2"/>
      <c r="JB1080" s="2"/>
      <c r="JC1080" s="2"/>
    </row>
    <row r="1081" customFormat="false" ht="15.75" hidden="false" customHeight="false" outlineLevel="0" collapsed="false">
      <c r="A1081" s="2"/>
      <c r="B1081" s="2"/>
      <c r="C1081" s="2"/>
      <c r="D1081" s="2"/>
      <c r="E1081" s="2"/>
      <c r="F1081" s="2"/>
      <c r="G1081" s="2"/>
      <c r="I1081" s="5"/>
      <c r="J1081" s="211"/>
      <c r="K1081" s="5"/>
      <c r="L1081" s="5"/>
      <c r="N1081" s="2"/>
      <c r="O1081" s="2"/>
      <c r="P1081" s="2"/>
      <c r="Q1081" s="2"/>
      <c r="R1081" s="2"/>
      <c r="S1081" s="2"/>
      <c r="T1081" s="10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IU1081" s="2"/>
      <c r="IV1081" s="2"/>
      <c r="IW1081" s="2"/>
      <c r="IX1081" s="2"/>
      <c r="IY1081" s="2"/>
      <c r="IZ1081" s="2"/>
      <c r="JA1081" s="2"/>
      <c r="JB1081" s="2"/>
      <c r="JC1081" s="2"/>
    </row>
    <row r="1082" customFormat="false" ht="15.75" hidden="false" customHeight="false" outlineLevel="0" collapsed="false">
      <c r="A1082" s="2"/>
      <c r="B1082" s="2"/>
      <c r="C1082" s="2"/>
      <c r="D1082" s="2"/>
      <c r="E1082" s="2"/>
      <c r="F1082" s="2"/>
      <c r="G1082" s="2"/>
      <c r="I1082" s="209"/>
      <c r="J1082" s="210"/>
      <c r="K1082" s="209"/>
      <c r="L1082" s="209"/>
      <c r="N1082" s="2"/>
      <c r="O1082" s="2"/>
      <c r="P1082" s="2"/>
      <c r="Q1082" s="2"/>
      <c r="R1082" s="2"/>
      <c r="S1082" s="2"/>
      <c r="T1082" s="10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IU1082" s="2"/>
      <c r="IV1082" s="2"/>
      <c r="IW1082" s="2"/>
      <c r="IX1082" s="2"/>
      <c r="IY1082" s="2"/>
      <c r="IZ1082" s="2"/>
      <c r="JA1082" s="2"/>
      <c r="JB1082" s="2"/>
      <c r="JC1082" s="2"/>
    </row>
    <row r="1083" customFormat="false" ht="15.75" hidden="false" customHeight="false" outlineLevel="0" collapsed="false">
      <c r="A1083" s="2"/>
      <c r="B1083" s="2"/>
      <c r="C1083" s="2"/>
      <c r="D1083" s="2"/>
      <c r="E1083" s="2"/>
      <c r="F1083" s="2"/>
      <c r="G1083" s="2"/>
      <c r="I1083" s="5"/>
      <c r="J1083" s="211"/>
      <c r="K1083" s="5"/>
      <c r="L1083" s="5"/>
      <c r="N1083" s="2"/>
      <c r="O1083" s="2"/>
      <c r="P1083" s="2"/>
      <c r="Q1083" s="2"/>
      <c r="R1083" s="2"/>
      <c r="S1083" s="2"/>
      <c r="T1083" s="10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IU1083" s="2"/>
      <c r="IV1083" s="2"/>
      <c r="IW1083" s="2"/>
      <c r="IX1083" s="2"/>
      <c r="IY1083" s="2"/>
      <c r="IZ1083" s="2"/>
      <c r="JA1083" s="2"/>
      <c r="JB1083" s="2"/>
      <c r="JC1083" s="2"/>
    </row>
    <row r="1084" customFormat="false" ht="15.75" hidden="false" customHeight="false" outlineLevel="0" collapsed="false">
      <c r="A1084" s="2"/>
      <c r="B1084" s="2"/>
      <c r="C1084" s="2"/>
      <c r="D1084" s="2"/>
      <c r="E1084" s="2"/>
      <c r="F1084" s="2"/>
      <c r="G1084" s="2"/>
      <c r="I1084" s="209"/>
      <c r="J1084" s="210"/>
      <c r="K1084" s="209"/>
      <c r="L1084" s="209"/>
      <c r="N1084" s="2"/>
      <c r="O1084" s="2"/>
      <c r="P1084" s="2"/>
      <c r="Q1084" s="2"/>
      <c r="R1084" s="2"/>
      <c r="S1084" s="2"/>
      <c r="T1084" s="10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IU1084" s="2"/>
      <c r="IV1084" s="2"/>
      <c r="IW1084" s="2"/>
      <c r="IX1084" s="2"/>
      <c r="IY1084" s="2"/>
      <c r="IZ1084" s="2"/>
      <c r="JA1084" s="2"/>
      <c r="JB1084" s="2"/>
      <c r="JC1084" s="2"/>
    </row>
    <row r="1085" customFormat="false" ht="15.75" hidden="false" customHeight="false" outlineLevel="0" collapsed="false">
      <c r="A1085" s="2"/>
      <c r="B1085" s="2"/>
      <c r="C1085" s="2"/>
      <c r="D1085" s="2"/>
      <c r="E1085" s="2"/>
      <c r="F1085" s="2"/>
      <c r="G1085" s="2"/>
      <c r="I1085" s="5"/>
      <c r="J1085" s="211"/>
      <c r="K1085" s="5"/>
      <c r="L1085" s="5"/>
      <c r="N1085" s="2"/>
      <c r="O1085" s="2"/>
      <c r="P1085" s="2"/>
      <c r="Q1085" s="2"/>
      <c r="R1085" s="2"/>
      <c r="S1085" s="2"/>
      <c r="T1085" s="10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IU1085" s="2"/>
      <c r="IV1085" s="2"/>
      <c r="IW1085" s="2"/>
      <c r="IX1085" s="2"/>
      <c r="IY1085" s="2"/>
      <c r="IZ1085" s="2"/>
      <c r="JA1085" s="2"/>
      <c r="JB1085" s="2"/>
      <c r="JC1085" s="2"/>
    </row>
    <row r="1086" customFormat="false" ht="15.75" hidden="false" customHeight="false" outlineLevel="0" collapsed="false">
      <c r="A1086" s="2"/>
      <c r="B1086" s="2"/>
      <c r="C1086" s="2"/>
      <c r="D1086" s="2"/>
      <c r="E1086" s="2"/>
      <c r="F1086" s="2"/>
      <c r="G1086" s="2"/>
      <c r="I1086" s="209"/>
      <c r="J1086" s="210"/>
      <c r="K1086" s="209"/>
      <c r="L1086" s="209"/>
      <c r="N1086" s="2"/>
      <c r="O1086" s="2"/>
      <c r="P1086" s="2"/>
      <c r="Q1086" s="2"/>
      <c r="R1086" s="2"/>
      <c r="S1086" s="2"/>
      <c r="T1086" s="10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IU1086" s="2"/>
      <c r="IV1086" s="2"/>
      <c r="IW1086" s="2"/>
      <c r="IX1086" s="2"/>
      <c r="IY1086" s="2"/>
      <c r="IZ1086" s="2"/>
      <c r="JA1086" s="2"/>
      <c r="JB1086" s="2"/>
      <c r="JC1086" s="2"/>
    </row>
    <row r="1087" customFormat="false" ht="15.75" hidden="false" customHeight="false" outlineLevel="0" collapsed="false">
      <c r="A1087" s="2"/>
      <c r="B1087" s="2"/>
      <c r="C1087" s="2"/>
      <c r="D1087" s="2"/>
      <c r="E1087" s="2"/>
      <c r="F1087" s="2"/>
      <c r="G1087" s="2"/>
      <c r="I1087" s="5"/>
      <c r="J1087" s="211"/>
      <c r="K1087" s="5"/>
      <c r="L1087" s="5"/>
      <c r="N1087" s="2"/>
      <c r="O1087" s="2"/>
      <c r="P1087" s="2"/>
      <c r="Q1087" s="2"/>
      <c r="R1087" s="2"/>
      <c r="S1087" s="2"/>
      <c r="T1087" s="10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IU1087" s="2"/>
      <c r="IV1087" s="2"/>
      <c r="IW1087" s="2"/>
      <c r="IX1087" s="2"/>
      <c r="IY1087" s="2"/>
      <c r="IZ1087" s="2"/>
      <c r="JA1087" s="2"/>
      <c r="JB1087" s="2"/>
      <c r="JC1087" s="2"/>
    </row>
    <row r="1088" customFormat="false" ht="15.75" hidden="false" customHeight="false" outlineLevel="0" collapsed="false">
      <c r="A1088" s="2"/>
      <c r="B1088" s="2"/>
      <c r="C1088" s="2"/>
      <c r="D1088" s="2"/>
      <c r="E1088" s="2"/>
      <c r="F1088" s="2"/>
      <c r="G1088" s="2"/>
      <c r="I1088" s="209"/>
      <c r="J1088" s="210"/>
      <c r="K1088" s="209"/>
      <c r="L1088" s="209"/>
      <c r="N1088" s="2"/>
      <c r="O1088" s="2"/>
      <c r="P1088" s="2"/>
      <c r="Q1088" s="2"/>
      <c r="R1088" s="2"/>
      <c r="S1088" s="2"/>
      <c r="T1088" s="10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IU1088" s="2"/>
      <c r="IV1088" s="2"/>
      <c r="IW1088" s="2"/>
      <c r="IX1088" s="2"/>
      <c r="IY1088" s="2"/>
      <c r="IZ1088" s="2"/>
      <c r="JA1088" s="2"/>
      <c r="JB1088" s="2"/>
      <c r="JC1088" s="2"/>
    </row>
    <row r="1089" customFormat="false" ht="15.75" hidden="false" customHeight="false" outlineLevel="0" collapsed="false">
      <c r="A1089" s="2"/>
      <c r="B1089" s="2"/>
      <c r="C1089" s="2"/>
      <c r="D1089" s="2"/>
      <c r="E1089" s="2"/>
      <c r="F1089" s="2"/>
      <c r="G1089" s="2"/>
      <c r="I1089" s="5"/>
      <c r="J1089" s="211"/>
      <c r="K1089" s="5"/>
      <c r="L1089" s="5"/>
      <c r="N1089" s="2"/>
      <c r="O1089" s="2"/>
      <c r="P1089" s="2"/>
      <c r="Q1089" s="2"/>
      <c r="R1089" s="2"/>
      <c r="S1089" s="2"/>
      <c r="T1089" s="10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IU1089" s="2"/>
      <c r="IV1089" s="2"/>
      <c r="IW1089" s="2"/>
      <c r="IX1089" s="2"/>
      <c r="IY1089" s="2"/>
      <c r="IZ1089" s="2"/>
      <c r="JA1089" s="2"/>
      <c r="JB1089" s="2"/>
      <c r="JC1089" s="2"/>
    </row>
    <row r="1090" customFormat="false" ht="15.75" hidden="false" customHeight="false" outlineLevel="0" collapsed="false">
      <c r="A1090" s="2"/>
      <c r="B1090" s="2"/>
      <c r="C1090" s="2"/>
      <c r="D1090" s="2"/>
      <c r="E1090" s="2"/>
      <c r="F1090" s="2"/>
      <c r="G1090" s="2"/>
      <c r="I1090" s="209"/>
      <c r="J1090" s="210"/>
      <c r="K1090" s="209"/>
      <c r="L1090" s="209"/>
      <c r="N1090" s="2"/>
      <c r="O1090" s="2"/>
      <c r="P1090" s="2"/>
      <c r="Q1090" s="2"/>
      <c r="R1090" s="2"/>
      <c r="S1090" s="2"/>
      <c r="T1090" s="10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IU1090" s="2"/>
      <c r="IV1090" s="2"/>
      <c r="IW1090" s="2"/>
      <c r="IX1090" s="2"/>
      <c r="IY1090" s="2"/>
      <c r="IZ1090" s="2"/>
      <c r="JA1090" s="2"/>
      <c r="JB1090" s="2"/>
      <c r="JC1090" s="2"/>
    </row>
    <row r="1091" customFormat="false" ht="15.75" hidden="false" customHeight="false" outlineLevel="0" collapsed="false">
      <c r="A1091" s="2"/>
      <c r="B1091" s="2"/>
      <c r="C1091" s="2"/>
      <c r="D1091" s="2"/>
      <c r="E1091" s="2"/>
      <c r="F1091" s="2"/>
      <c r="G1091" s="2"/>
      <c r="I1091" s="5"/>
      <c r="J1091" s="211"/>
      <c r="K1091" s="5"/>
      <c r="L1091" s="5"/>
      <c r="N1091" s="2"/>
      <c r="O1091" s="2"/>
      <c r="P1091" s="2"/>
      <c r="Q1091" s="2"/>
      <c r="R1091" s="2"/>
      <c r="S1091" s="2"/>
      <c r="T1091" s="10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IU1091" s="2"/>
      <c r="IV1091" s="2"/>
      <c r="IW1091" s="2"/>
      <c r="IX1091" s="2"/>
      <c r="IY1091" s="2"/>
      <c r="IZ1091" s="2"/>
      <c r="JA1091" s="2"/>
      <c r="JB1091" s="2"/>
      <c r="JC1091" s="2"/>
    </row>
    <row r="1092" customFormat="false" ht="15.75" hidden="false" customHeight="false" outlineLevel="0" collapsed="false">
      <c r="A1092" s="2"/>
      <c r="B1092" s="2"/>
      <c r="C1092" s="2"/>
      <c r="D1092" s="2"/>
      <c r="E1092" s="2"/>
      <c r="F1092" s="2"/>
      <c r="G1092" s="2"/>
      <c r="I1092" s="209"/>
      <c r="J1092" s="210"/>
      <c r="K1092" s="209"/>
      <c r="L1092" s="209"/>
      <c r="N1092" s="2"/>
      <c r="O1092" s="2"/>
      <c r="P1092" s="2"/>
      <c r="Q1092" s="2"/>
      <c r="R1092" s="2"/>
      <c r="S1092" s="2"/>
      <c r="T1092" s="10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IU1092" s="2"/>
      <c r="IV1092" s="2"/>
      <c r="IW1092" s="2"/>
      <c r="IX1092" s="2"/>
      <c r="IY1092" s="2"/>
      <c r="IZ1092" s="2"/>
      <c r="JA1092" s="2"/>
      <c r="JB1092" s="2"/>
      <c r="JC1092" s="2"/>
    </row>
    <row r="1093" customFormat="false" ht="15.75" hidden="false" customHeight="false" outlineLevel="0" collapsed="false">
      <c r="A1093" s="2"/>
      <c r="B1093" s="2"/>
      <c r="C1093" s="2"/>
      <c r="D1093" s="2"/>
      <c r="E1093" s="2"/>
      <c r="F1093" s="2"/>
      <c r="G1093" s="2"/>
      <c r="I1093" s="5"/>
      <c r="J1093" s="211"/>
      <c r="K1093" s="5"/>
      <c r="L1093" s="5"/>
      <c r="N1093" s="2"/>
      <c r="O1093" s="2"/>
      <c r="P1093" s="2"/>
      <c r="Q1093" s="2"/>
      <c r="R1093" s="2"/>
      <c r="S1093" s="2"/>
      <c r="T1093" s="10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IU1093" s="2"/>
      <c r="IV1093" s="2"/>
      <c r="IW1093" s="2"/>
      <c r="IX1093" s="2"/>
      <c r="IY1093" s="2"/>
      <c r="IZ1093" s="2"/>
      <c r="JA1093" s="2"/>
      <c r="JB1093" s="2"/>
      <c r="JC1093" s="2"/>
    </row>
    <row r="1094" customFormat="false" ht="15.75" hidden="false" customHeight="false" outlineLevel="0" collapsed="false">
      <c r="A1094" s="2"/>
      <c r="B1094" s="2"/>
      <c r="C1094" s="2"/>
      <c r="D1094" s="2"/>
      <c r="E1094" s="2"/>
      <c r="F1094" s="2"/>
      <c r="G1094" s="2"/>
      <c r="I1094" s="209"/>
      <c r="J1094" s="210"/>
      <c r="K1094" s="209"/>
      <c r="L1094" s="209"/>
      <c r="N1094" s="2"/>
      <c r="O1094" s="2"/>
      <c r="P1094" s="2"/>
      <c r="Q1094" s="2"/>
      <c r="R1094" s="2"/>
      <c r="S1094" s="2"/>
      <c r="T1094" s="10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IU1094" s="2"/>
      <c r="IV1094" s="2"/>
      <c r="IW1094" s="2"/>
      <c r="IX1094" s="2"/>
      <c r="IY1094" s="2"/>
      <c r="IZ1094" s="2"/>
      <c r="JA1094" s="2"/>
      <c r="JB1094" s="2"/>
      <c r="JC1094" s="2"/>
    </row>
    <row r="1095" customFormat="false" ht="15.75" hidden="false" customHeight="false" outlineLevel="0" collapsed="false">
      <c r="A1095" s="2"/>
      <c r="B1095" s="2"/>
      <c r="C1095" s="2"/>
      <c r="D1095" s="2"/>
      <c r="E1095" s="2"/>
      <c r="F1095" s="2"/>
      <c r="G1095" s="2"/>
      <c r="I1095" s="5"/>
      <c r="J1095" s="211"/>
      <c r="K1095" s="5"/>
      <c r="L1095" s="5"/>
      <c r="N1095" s="2"/>
      <c r="O1095" s="2"/>
      <c r="P1095" s="2"/>
      <c r="Q1095" s="2"/>
      <c r="R1095" s="2"/>
      <c r="S1095" s="2"/>
      <c r="T1095" s="10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IU1095" s="2"/>
      <c r="IV1095" s="2"/>
      <c r="IW1095" s="2"/>
      <c r="IX1095" s="2"/>
      <c r="IY1095" s="2"/>
      <c r="IZ1095" s="2"/>
      <c r="JA1095" s="2"/>
      <c r="JB1095" s="2"/>
      <c r="JC1095" s="2"/>
    </row>
    <row r="1096" customFormat="false" ht="15.75" hidden="false" customHeight="false" outlineLevel="0" collapsed="false">
      <c r="A1096" s="2"/>
      <c r="B1096" s="2"/>
      <c r="C1096" s="2"/>
      <c r="D1096" s="2"/>
      <c r="E1096" s="2"/>
      <c r="F1096" s="2"/>
      <c r="G1096" s="2"/>
      <c r="I1096" s="209"/>
      <c r="J1096" s="210"/>
      <c r="K1096" s="209"/>
      <c r="L1096" s="209"/>
      <c r="N1096" s="2"/>
      <c r="O1096" s="2"/>
      <c r="P1096" s="2"/>
      <c r="Q1096" s="2"/>
      <c r="R1096" s="2"/>
      <c r="S1096" s="2"/>
      <c r="T1096" s="10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IU1096" s="2"/>
      <c r="IV1096" s="2"/>
      <c r="IW1096" s="2"/>
      <c r="IX1096" s="2"/>
      <c r="IY1096" s="2"/>
      <c r="IZ1096" s="2"/>
      <c r="JA1096" s="2"/>
      <c r="JB1096" s="2"/>
      <c r="JC1096" s="2"/>
    </row>
    <row r="1097" customFormat="false" ht="15.75" hidden="false" customHeight="false" outlineLevel="0" collapsed="false">
      <c r="A1097" s="2"/>
      <c r="B1097" s="2"/>
      <c r="C1097" s="2"/>
      <c r="D1097" s="2"/>
      <c r="E1097" s="2"/>
      <c r="F1097" s="2"/>
      <c r="G1097" s="2"/>
      <c r="I1097" s="5"/>
      <c r="J1097" s="211"/>
      <c r="K1097" s="5"/>
      <c r="L1097" s="5"/>
      <c r="N1097" s="2"/>
      <c r="O1097" s="2"/>
      <c r="P1097" s="2"/>
      <c r="Q1097" s="2"/>
      <c r="R1097" s="2"/>
      <c r="S1097" s="2"/>
      <c r="T1097" s="10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IU1097" s="2"/>
      <c r="IV1097" s="2"/>
      <c r="IW1097" s="2"/>
      <c r="IX1097" s="2"/>
      <c r="IY1097" s="2"/>
      <c r="IZ1097" s="2"/>
      <c r="JA1097" s="2"/>
      <c r="JB1097" s="2"/>
      <c r="JC1097" s="2"/>
    </row>
    <row r="1098" customFormat="false" ht="15.75" hidden="false" customHeight="false" outlineLevel="0" collapsed="false">
      <c r="A1098" s="2"/>
      <c r="B1098" s="2"/>
      <c r="C1098" s="2"/>
      <c r="D1098" s="2"/>
      <c r="E1098" s="2"/>
      <c r="F1098" s="2"/>
      <c r="G1098" s="2"/>
      <c r="I1098" s="209"/>
      <c r="J1098" s="210"/>
      <c r="K1098" s="209"/>
      <c r="L1098" s="209"/>
      <c r="N1098" s="2"/>
      <c r="O1098" s="2"/>
      <c r="P1098" s="2"/>
      <c r="Q1098" s="2"/>
      <c r="R1098" s="2"/>
      <c r="S1098" s="2"/>
      <c r="T1098" s="10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IU1098" s="2"/>
      <c r="IV1098" s="2"/>
      <c r="IW1098" s="2"/>
      <c r="IX1098" s="2"/>
      <c r="IY1098" s="2"/>
      <c r="IZ1098" s="2"/>
      <c r="JA1098" s="2"/>
      <c r="JB1098" s="2"/>
      <c r="JC1098" s="2"/>
    </row>
    <row r="1099" customFormat="false" ht="15.75" hidden="false" customHeight="false" outlineLevel="0" collapsed="false">
      <c r="A1099" s="2"/>
      <c r="B1099" s="2"/>
      <c r="C1099" s="2"/>
      <c r="D1099" s="2"/>
      <c r="E1099" s="2"/>
      <c r="F1099" s="2"/>
      <c r="G1099" s="2"/>
      <c r="I1099" s="5"/>
      <c r="J1099" s="211"/>
      <c r="K1099" s="5"/>
      <c r="L1099" s="5"/>
      <c r="N1099" s="2"/>
      <c r="O1099" s="2"/>
      <c r="P1099" s="2"/>
      <c r="Q1099" s="2"/>
      <c r="R1099" s="2"/>
      <c r="S1099" s="2"/>
      <c r="T1099" s="10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IU1099" s="2"/>
      <c r="IV1099" s="2"/>
      <c r="IW1099" s="2"/>
      <c r="IX1099" s="2"/>
      <c r="IY1099" s="2"/>
      <c r="IZ1099" s="2"/>
      <c r="JA1099" s="2"/>
      <c r="JB1099" s="2"/>
      <c r="JC1099" s="2"/>
    </row>
    <row r="1100" customFormat="false" ht="15.75" hidden="false" customHeight="false" outlineLevel="0" collapsed="false">
      <c r="A1100" s="2"/>
      <c r="B1100" s="2"/>
      <c r="C1100" s="2"/>
      <c r="D1100" s="2"/>
      <c r="E1100" s="2"/>
      <c r="F1100" s="2"/>
      <c r="G1100" s="2"/>
      <c r="I1100" s="209"/>
      <c r="J1100" s="210"/>
      <c r="K1100" s="209"/>
      <c r="L1100" s="209"/>
      <c r="N1100" s="2"/>
      <c r="O1100" s="2"/>
      <c r="P1100" s="2"/>
      <c r="Q1100" s="2"/>
      <c r="R1100" s="2"/>
      <c r="S1100" s="2"/>
      <c r="T1100" s="10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IU1100" s="2"/>
      <c r="IV1100" s="2"/>
      <c r="IW1100" s="2"/>
      <c r="IX1100" s="2"/>
      <c r="IY1100" s="2"/>
      <c r="IZ1100" s="2"/>
      <c r="JA1100" s="2"/>
      <c r="JB1100" s="2"/>
      <c r="JC1100" s="2"/>
    </row>
    <row r="1101" customFormat="false" ht="15.75" hidden="false" customHeight="false" outlineLevel="0" collapsed="false">
      <c r="A1101" s="2"/>
      <c r="B1101" s="2"/>
      <c r="C1101" s="2"/>
      <c r="D1101" s="2"/>
      <c r="E1101" s="2"/>
      <c r="F1101" s="2"/>
      <c r="G1101" s="2"/>
      <c r="I1101" s="5"/>
      <c r="J1101" s="211"/>
      <c r="K1101" s="5"/>
      <c r="L1101" s="5"/>
      <c r="N1101" s="2"/>
      <c r="O1101" s="2"/>
      <c r="P1101" s="2"/>
      <c r="Q1101" s="2"/>
      <c r="R1101" s="2"/>
      <c r="S1101" s="2"/>
      <c r="T1101" s="10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IU1101" s="2"/>
      <c r="IV1101" s="2"/>
      <c r="IW1101" s="2"/>
      <c r="IX1101" s="2"/>
      <c r="IY1101" s="2"/>
      <c r="IZ1101" s="2"/>
      <c r="JA1101" s="2"/>
      <c r="JB1101" s="2"/>
      <c r="JC1101" s="2"/>
    </row>
    <row r="1102" customFormat="false" ht="15.75" hidden="false" customHeight="false" outlineLevel="0" collapsed="false">
      <c r="A1102" s="2"/>
      <c r="B1102" s="2"/>
      <c r="C1102" s="2"/>
      <c r="D1102" s="2"/>
      <c r="E1102" s="2"/>
      <c r="F1102" s="2"/>
      <c r="G1102" s="2"/>
      <c r="I1102" s="209"/>
      <c r="J1102" s="210"/>
      <c r="K1102" s="209"/>
      <c r="L1102" s="209"/>
      <c r="N1102" s="2"/>
      <c r="O1102" s="2"/>
      <c r="P1102" s="2"/>
      <c r="Q1102" s="2"/>
      <c r="R1102" s="2"/>
      <c r="S1102" s="2"/>
      <c r="T1102" s="10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IU1102" s="2"/>
      <c r="IV1102" s="2"/>
      <c r="IW1102" s="2"/>
      <c r="IX1102" s="2"/>
      <c r="IY1102" s="2"/>
      <c r="IZ1102" s="2"/>
      <c r="JA1102" s="2"/>
      <c r="JB1102" s="2"/>
      <c r="JC1102" s="2"/>
    </row>
    <row r="1103" customFormat="false" ht="15.75" hidden="false" customHeight="false" outlineLevel="0" collapsed="false">
      <c r="A1103" s="2"/>
      <c r="B1103" s="2"/>
      <c r="C1103" s="2"/>
      <c r="D1103" s="2"/>
      <c r="E1103" s="2"/>
      <c r="F1103" s="2"/>
      <c r="G1103" s="2"/>
      <c r="I1103" s="5"/>
      <c r="J1103" s="211"/>
      <c r="K1103" s="5"/>
      <c r="L1103" s="5"/>
      <c r="N1103" s="2"/>
      <c r="O1103" s="2"/>
      <c r="P1103" s="2"/>
      <c r="Q1103" s="2"/>
      <c r="R1103" s="2"/>
      <c r="S1103" s="2"/>
      <c r="T1103" s="10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IU1103" s="2"/>
      <c r="IV1103" s="2"/>
      <c r="IW1103" s="2"/>
      <c r="IX1103" s="2"/>
      <c r="IY1103" s="2"/>
      <c r="IZ1103" s="2"/>
      <c r="JA1103" s="2"/>
      <c r="JB1103" s="2"/>
      <c r="JC1103" s="2"/>
    </row>
    <row r="1104" customFormat="false" ht="15.75" hidden="false" customHeight="false" outlineLevel="0" collapsed="false">
      <c r="A1104" s="2"/>
      <c r="B1104" s="2"/>
      <c r="C1104" s="2"/>
      <c r="D1104" s="2"/>
      <c r="E1104" s="2"/>
      <c r="F1104" s="2"/>
      <c r="G1104" s="2"/>
      <c r="I1104" s="209"/>
      <c r="J1104" s="210"/>
      <c r="K1104" s="209"/>
      <c r="L1104" s="209"/>
      <c r="N1104" s="2"/>
      <c r="O1104" s="2"/>
      <c r="P1104" s="2"/>
      <c r="Q1104" s="2"/>
      <c r="R1104" s="2"/>
      <c r="S1104" s="2"/>
      <c r="T1104" s="10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IU1104" s="2"/>
      <c r="IV1104" s="2"/>
      <c r="IW1104" s="2"/>
      <c r="IX1104" s="2"/>
      <c r="IY1104" s="2"/>
      <c r="IZ1104" s="2"/>
      <c r="JA1104" s="2"/>
      <c r="JB1104" s="2"/>
      <c r="JC1104" s="2"/>
    </row>
    <row r="1105" customFormat="false" ht="15.75" hidden="false" customHeight="false" outlineLevel="0" collapsed="false">
      <c r="A1105" s="2"/>
      <c r="B1105" s="2"/>
      <c r="C1105" s="2"/>
      <c r="D1105" s="2"/>
      <c r="E1105" s="2"/>
      <c r="F1105" s="2"/>
      <c r="G1105" s="2"/>
      <c r="I1105" s="5"/>
      <c r="J1105" s="211"/>
      <c r="K1105" s="5"/>
      <c r="L1105" s="5"/>
      <c r="N1105" s="2"/>
      <c r="O1105" s="2"/>
      <c r="P1105" s="2"/>
      <c r="Q1105" s="2"/>
      <c r="R1105" s="2"/>
      <c r="S1105" s="2"/>
      <c r="T1105" s="10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IU1105" s="2"/>
      <c r="IV1105" s="2"/>
      <c r="IW1105" s="2"/>
      <c r="IX1105" s="2"/>
      <c r="IY1105" s="2"/>
      <c r="IZ1105" s="2"/>
      <c r="JA1105" s="2"/>
      <c r="JB1105" s="2"/>
      <c r="JC1105" s="2"/>
    </row>
    <row r="1106" customFormat="false" ht="15.75" hidden="false" customHeight="false" outlineLevel="0" collapsed="false">
      <c r="A1106" s="2"/>
      <c r="B1106" s="2"/>
      <c r="C1106" s="2"/>
      <c r="D1106" s="2"/>
      <c r="E1106" s="2"/>
      <c r="F1106" s="2"/>
      <c r="G1106" s="2"/>
      <c r="I1106" s="209"/>
      <c r="J1106" s="210"/>
      <c r="K1106" s="209"/>
      <c r="L1106" s="209"/>
      <c r="N1106" s="2"/>
      <c r="O1106" s="2"/>
      <c r="P1106" s="2"/>
      <c r="Q1106" s="2"/>
      <c r="R1106" s="2"/>
      <c r="S1106" s="2"/>
      <c r="T1106" s="10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IU1106" s="2"/>
      <c r="IV1106" s="2"/>
      <c r="IW1106" s="2"/>
      <c r="IX1106" s="2"/>
      <c r="IY1106" s="2"/>
      <c r="IZ1106" s="2"/>
      <c r="JA1106" s="2"/>
      <c r="JB1106" s="2"/>
      <c r="JC1106" s="2"/>
    </row>
    <row r="1107" customFormat="false" ht="15.75" hidden="false" customHeight="false" outlineLevel="0" collapsed="false">
      <c r="A1107" s="2"/>
      <c r="B1107" s="2"/>
      <c r="C1107" s="2"/>
      <c r="D1107" s="2"/>
      <c r="E1107" s="2"/>
      <c r="F1107" s="2"/>
      <c r="G1107" s="2"/>
      <c r="I1107" s="5"/>
      <c r="J1107" s="211"/>
      <c r="K1107" s="5"/>
      <c r="L1107" s="5"/>
      <c r="N1107" s="2"/>
      <c r="O1107" s="2"/>
      <c r="P1107" s="2"/>
      <c r="Q1107" s="2"/>
      <c r="R1107" s="2"/>
      <c r="S1107" s="2"/>
      <c r="T1107" s="10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IU1107" s="2"/>
      <c r="IV1107" s="2"/>
      <c r="IW1107" s="2"/>
      <c r="IX1107" s="2"/>
      <c r="IY1107" s="2"/>
      <c r="IZ1107" s="2"/>
      <c r="JA1107" s="2"/>
      <c r="JB1107" s="2"/>
      <c r="JC1107" s="2"/>
    </row>
    <row r="1108" customFormat="false" ht="15.75" hidden="false" customHeight="false" outlineLevel="0" collapsed="false">
      <c r="A1108" s="2"/>
      <c r="B1108" s="2"/>
      <c r="C1108" s="2"/>
      <c r="D1108" s="2"/>
      <c r="E1108" s="2"/>
      <c r="F1108" s="2"/>
      <c r="G1108" s="2"/>
      <c r="I1108" s="209"/>
      <c r="J1108" s="210"/>
      <c r="K1108" s="209"/>
      <c r="L1108" s="209"/>
      <c r="N1108" s="2"/>
      <c r="O1108" s="2"/>
      <c r="P1108" s="2"/>
      <c r="Q1108" s="2"/>
      <c r="R1108" s="2"/>
      <c r="S1108" s="2"/>
      <c r="T1108" s="10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IU1108" s="2"/>
      <c r="IV1108" s="2"/>
      <c r="IW1108" s="2"/>
      <c r="IX1108" s="2"/>
      <c r="IY1108" s="2"/>
      <c r="IZ1108" s="2"/>
      <c r="JA1108" s="2"/>
      <c r="JB1108" s="2"/>
      <c r="JC1108" s="2"/>
    </row>
    <row r="1109" customFormat="false" ht="15.75" hidden="false" customHeight="false" outlineLevel="0" collapsed="false">
      <c r="A1109" s="2"/>
      <c r="B1109" s="2"/>
      <c r="C1109" s="2"/>
      <c r="D1109" s="2"/>
      <c r="E1109" s="2"/>
      <c r="F1109" s="2"/>
      <c r="G1109" s="2"/>
      <c r="I1109" s="5"/>
      <c r="J1109" s="211"/>
      <c r="K1109" s="5"/>
      <c r="L1109" s="5"/>
      <c r="N1109" s="2"/>
      <c r="O1109" s="2"/>
      <c r="P1109" s="2"/>
      <c r="Q1109" s="2"/>
      <c r="R1109" s="2"/>
      <c r="S1109" s="2"/>
      <c r="T1109" s="10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IU1109" s="2"/>
      <c r="IV1109" s="2"/>
      <c r="IW1109" s="2"/>
      <c r="IX1109" s="2"/>
      <c r="IY1109" s="2"/>
      <c r="IZ1109" s="2"/>
      <c r="JA1109" s="2"/>
      <c r="JB1109" s="2"/>
      <c r="JC1109" s="2"/>
    </row>
    <row r="1110" customFormat="false" ht="15.75" hidden="false" customHeight="false" outlineLevel="0" collapsed="false">
      <c r="A1110" s="2"/>
      <c r="B1110" s="2"/>
      <c r="C1110" s="2"/>
      <c r="D1110" s="2"/>
      <c r="E1110" s="2"/>
      <c r="F1110" s="2"/>
      <c r="G1110" s="2"/>
      <c r="I1110" s="209"/>
      <c r="J1110" s="210"/>
      <c r="K1110" s="209"/>
      <c r="L1110" s="209"/>
      <c r="N1110" s="2"/>
      <c r="O1110" s="2"/>
      <c r="P1110" s="2"/>
      <c r="Q1110" s="2"/>
      <c r="R1110" s="2"/>
      <c r="S1110" s="2"/>
      <c r="T1110" s="10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IU1110" s="2"/>
      <c r="IV1110" s="2"/>
      <c r="IW1110" s="2"/>
      <c r="IX1110" s="2"/>
      <c r="IY1110" s="2"/>
      <c r="IZ1110" s="2"/>
      <c r="JA1110" s="2"/>
      <c r="JB1110" s="2"/>
      <c r="JC1110" s="2"/>
    </row>
    <row r="1111" customFormat="false" ht="15.75" hidden="false" customHeight="false" outlineLevel="0" collapsed="false">
      <c r="A1111" s="2"/>
      <c r="B1111" s="2"/>
      <c r="C1111" s="2"/>
      <c r="D1111" s="2"/>
      <c r="E1111" s="2"/>
      <c r="F1111" s="2"/>
      <c r="G1111" s="2"/>
      <c r="I1111" s="5"/>
      <c r="J1111" s="211"/>
      <c r="K1111" s="5"/>
      <c r="L1111" s="5"/>
      <c r="N1111" s="2"/>
      <c r="O1111" s="2"/>
      <c r="P1111" s="2"/>
      <c r="Q1111" s="2"/>
      <c r="R1111" s="2"/>
      <c r="S1111" s="2"/>
      <c r="T1111" s="10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IU1111" s="2"/>
      <c r="IV1111" s="2"/>
      <c r="IW1111" s="2"/>
      <c r="IX1111" s="2"/>
      <c r="IY1111" s="2"/>
      <c r="IZ1111" s="2"/>
      <c r="JA1111" s="2"/>
      <c r="JB1111" s="2"/>
      <c r="JC1111" s="2"/>
    </row>
    <row r="1112" customFormat="false" ht="15.75" hidden="false" customHeight="false" outlineLevel="0" collapsed="false">
      <c r="A1112" s="2"/>
      <c r="B1112" s="2"/>
      <c r="C1112" s="2"/>
      <c r="D1112" s="2"/>
      <c r="E1112" s="2"/>
      <c r="F1112" s="2"/>
      <c r="G1112" s="2"/>
      <c r="I1112" s="209"/>
      <c r="J1112" s="210"/>
      <c r="K1112" s="209"/>
      <c r="L1112" s="209"/>
      <c r="N1112" s="2"/>
      <c r="O1112" s="2"/>
      <c r="P1112" s="2"/>
      <c r="Q1112" s="2"/>
      <c r="R1112" s="2"/>
      <c r="S1112" s="2"/>
      <c r="T1112" s="10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IU1112" s="2"/>
      <c r="IV1112" s="2"/>
      <c r="IW1112" s="2"/>
      <c r="IX1112" s="2"/>
      <c r="IY1112" s="2"/>
      <c r="IZ1112" s="2"/>
      <c r="JA1112" s="2"/>
      <c r="JB1112" s="2"/>
      <c r="JC1112" s="2"/>
    </row>
    <row r="1113" customFormat="false" ht="15.75" hidden="false" customHeight="false" outlineLevel="0" collapsed="false">
      <c r="A1113" s="2"/>
      <c r="B1113" s="2"/>
      <c r="C1113" s="2"/>
      <c r="D1113" s="2"/>
      <c r="E1113" s="2"/>
      <c r="F1113" s="2"/>
      <c r="G1113" s="2"/>
      <c r="I1113" s="5"/>
      <c r="J1113" s="211"/>
      <c r="K1113" s="5"/>
      <c r="L1113" s="5"/>
      <c r="N1113" s="2"/>
      <c r="O1113" s="2"/>
      <c r="P1113" s="2"/>
      <c r="Q1113" s="2"/>
      <c r="R1113" s="2"/>
      <c r="S1113" s="2"/>
      <c r="T1113" s="10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IU1113" s="2"/>
      <c r="IV1113" s="2"/>
      <c r="IW1113" s="2"/>
      <c r="IX1113" s="2"/>
      <c r="IY1113" s="2"/>
      <c r="IZ1113" s="2"/>
      <c r="JA1113" s="2"/>
      <c r="JB1113" s="2"/>
      <c r="JC1113" s="2"/>
    </row>
    <row r="1114" customFormat="false" ht="15.75" hidden="false" customHeight="false" outlineLevel="0" collapsed="false">
      <c r="A1114" s="2"/>
      <c r="B1114" s="2"/>
      <c r="C1114" s="2"/>
      <c r="D1114" s="2"/>
      <c r="E1114" s="2"/>
      <c r="F1114" s="2"/>
      <c r="G1114" s="2"/>
      <c r="I1114" s="209"/>
      <c r="J1114" s="210"/>
      <c r="K1114" s="209"/>
      <c r="L1114" s="209"/>
      <c r="N1114" s="2"/>
      <c r="O1114" s="2"/>
      <c r="P1114" s="2"/>
      <c r="Q1114" s="2"/>
      <c r="R1114" s="2"/>
      <c r="S1114" s="2"/>
      <c r="T1114" s="10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IU1114" s="2"/>
      <c r="IV1114" s="2"/>
      <c r="IW1114" s="2"/>
      <c r="IX1114" s="2"/>
      <c r="IY1114" s="2"/>
      <c r="IZ1114" s="2"/>
      <c r="JA1114" s="2"/>
      <c r="JB1114" s="2"/>
      <c r="JC1114" s="2"/>
    </row>
    <row r="1115" customFormat="false" ht="15.75" hidden="false" customHeight="false" outlineLevel="0" collapsed="false">
      <c r="A1115" s="2"/>
      <c r="B1115" s="2"/>
      <c r="C1115" s="2"/>
      <c r="D1115" s="2"/>
      <c r="E1115" s="2"/>
      <c r="F1115" s="2"/>
      <c r="G1115" s="2"/>
      <c r="I1115" s="5"/>
      <c r="J1115" s="211"/>
      <c r="K1115" s="5"/>
      <c r="L1115" s="5"/>
      <c r="N1115" s="2"/>
      <c r="O1115" s="2"/>
      <c r="P1115" s="2"/>
      <c r="Q1115" s="2"/>
      <c r="R1115" s="2"/>
      <c r="S1115" s="2"/>
      <c r="T1115" s="10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IU1115" s="2"/>
      <c r="IV1115" s="2"/>
      <c r="IW1115" s="2"/>
      <c r="IX1115" s="2"/>
      <c r="IY1115" s="2"/>
      <c r="IZ1115" s="2"/>
      <c r="JA1115" s="2"/>
      <c r="JB1115" s="2"/>
      <c r="JC1115" s="2"/>
    </row>
    <row r="1116" customFormat="false" ht="15.75" hidden="false" customHeight="false" outlineLevel="0" collapsed="false">
      <c r="A1116" s="2"/>
      <c r="B1116" s="2"/>
      <c r="C1116" s="2"/>
      <c r="D1116" s="2"/>
      <c r="E1116" s="2"/>
      <c r="F1116" s="2"/>
      <c r="G1116" s="2"/>
      <c r="I1116" s="209"/>
      <c r="J1116" s="210"/>
      <c r="K1116" s="209"/>
      <c r="L1116" s="209"/>
      <c r="N1116" s="2"/>
      <c r="O1116" s="2"/>
      <c r="P1116" s="2"/>
      <c r="Q1116" s="2"/>
      <c r="R1116" s="2"/>
      <c r="S1116" s="2"/>
      <c r="T1116" s="10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IU1116" s="2"/>
      <c r="IV1116" s="2"/>
      <c r="IW1116" s="2"/>
      <c r="IX1116" s="2"/>
      <c r="IY1116" s="2"/>
      <c r="IZ1116" s="2"/>
      <c r="JA1116" s="2"/>
      <c r="JB1116" s="2"/>
      <c r="JC1116" s="2"/>
    </row>
    <row r="1117" customFormat="false" ht="15.75" hidden="false" customHeight="false" outlineLevel="0" collapsed="false">
      <c r="A1117" s="2"/>
      <c r="B1117" s="2"/>
      <c r="C1117" s="2"/>
      <c r="D1117" s="2"/>
      <c r="E1117" s="2"/>
      <c r="F1117" s="2"/>
      <c r="G1117" s="2"/>
      <c r="I1117" s="5"/>
      <c r="J1117" s="211"/>
      <c r="K1117" s="5"/>
      <c r="L1117" s="5"/>
      <c r="N1117" s="2"/>
      <c r="O1117" s="2"/>
      <c r="P1117" s="2"/>
      <c r="Q1117" s="2"/>
      <c r="R1117" s="2"/>
      <c r="S1117" s="2"/>
      <c r="T1117" s="10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IU1117" s="2"/>
      <c r="IV1117" s="2"/>
      <c r="IW1117" s="2"/>
      <c r="IX1117" s="2"/>
      <c r="IY1117" s="2"/>
      <c r="IZ1117" s="2"/>
      <c r="JA1117" s="2"/>
      <c r="JB1117" s="2"/>
      <c r="JC1117" s="2"/>
    </row>
    <row r="1118" customFormat="false" ht="15.75" hidden="false" customHeight="false" outlineLevel="0" collapsed="false">
      <c r="A1118" s="2"/>
      <c r="B1118" s="2"/>
      <c r="C1118" s="2"/>
      <c r="D1118" s="2"/>
      <c r="E1118" s="2"/>
      <c r="F1118" s="2"/>
      <c r="G1118" s="2"/>
      <c r="I1118" s="209"/>
      <c r="J1118" s="210"/>
      <c r="K1118" s="209"/>
      <c r="L1118" s="209"/>
      <c r="N1118" s="2"/>
      <c r="O1118" s="2"/>
      <c r="P1118" s="2"/>
      <c r="Q1118" s="2"/>
      <c r="R1118" s="2"/>
      <c r="S1118" s="2"/>
      <c r="T1118" s="10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IU1118" s="2"/>
      <c r="IV1118" s="2"/>
      <c r="IW1118" s="2"/>
      <c r="IX1118" s="2"/>
      <c r="IY1118" s="2"/>
      <c r="IZ1118" s="2"/>
      <c r="JA1118" s="2"/>
      <c r="JB1118" s="2"/>
      <c r="JC1118" s="2"/>
    </row>
    <row r="1119" customFormat="false" ht="15.75" hidden="false" customHeight="false" outlineLevel="0" collapsed="false">
      <c r="A1119" s="2"/>
      <c r="B1119" s="2"/>
      <c r="C1119" s="2"/>
      <c r="D1119" s="2"/>
      <c r="E1119" s="2"/>
      <c r="F1119" s="2"/>
      <c r="G1119" s="2"/>
      <c r="I1119" s="7"/>
      <c r="J1119" s="5"/>
      <c r="K1119" s="5"/>
      <c r="L1119" s="5"/>
      <c r="N1119" s="2"/>
      <c r="O1119" s="2"/>
      <c r="P1119" s="2"/>
      <c r="Q1119" s="2"/>
      <c r="R1119" s="2"/>
      <c r="S1119" s="2"/>
      <c r="T1119" s="10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IU1119" s="2"/>
      <c r="IV1119" s="2"/>
      <c r="IW1119" s="2"/>
      <c r="IX1119" s="2"/>
      <c r="IY1119" s="2"/>
      <c r="IZ1119" s="2"/>
      <c r="JA1119" s="2"/>
      <c r="JB1119" s="2"/>
      <c r="JC1119" s="2"/>
    </row>
    <row r="1120" customFormat="false" ht="15.75" hidden="false" customHeight="false" outlineLevel="0" collapsed="false">
      <c r="A1120" s="2"/>
      <c r="B1120" s="2"/>
      <c r="C1120" s="2"/>
      <c r="D1120" s="2"/>
      <c r="E1120" s="2"/>
      <c r="F1120" s="2"/>
      <c r="G1120" s="2"/>
      <c r="I1120" s="7"/>
      <c r="J1120" s="5"/>
      <c r="K1120" s="5"/>
      <c r="L1120" s="5"/>
      <c r="N1120" s="2"/>
      <c r="O1120" s="2"/>
      <c r="P1120" s="2"/>
      <c r="Q1120" s="2"/>
      <c r="R1120" s="2"/>
      <c r="S1120" s="2"/>
      <c r="T1120" s="10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IU1120" s="2"/>
      <c r="IV1120" s="2"/>
      <c r="IW1120" s="2"/>
      <c r="IX1120" s="2"/>
      <c r="IY1120" s="2"/>
      <c r="IZ1120" s="2"/>
      <c r="JA1120" s="2"/>
      <c r="JB1120" s="2"/>
      <c r="JC1120" s="2"/>
    </row>
    <row r="1121" customFormat="false" ht="15.75" hidden="false" customHeight="false" outlineLevel="0" collapsed="false">
      <c r="A1121" s="2"/>
      <c r="B1121" s="2"/>
      <c r="C1121" s="2"/>
      <c r="D1121" s="2"/>
      <c r="E1121" s="2"/>
      <c r="F1121" s="2"/>
      <c r="G1121" s="2"/>
      <c r="I1121" s="7"/>
      <c r="J1121" s="5"/>
      <c r="K1121" s="5"/>
      <c r="L1121" s="5"/>
      <c r="N1121" s="2"/>
      <c r="O1121" s="2"/>
      <c r="P1121" s="2"/>
      <c r="Q1121" s="2"/>
      <c r="R1121" s="2"/>
      <c r="S1121" s="2"/>
      <c r="T1121" s="10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IU1121" s="2"/>
      <c r="IV1121" s="2"/>
      <c r="IW1121" s="2"/>
      <c r="IX1121" s="2"/>
      <c r="IY1121" s="2"/>
      <c r="IZ1121" s="2"/>
      <c r="JA1121" s="2"/>
      <c r="JB1121" s="2"/>
      <c r="JC1121" s="2"/>
    </row>
    <row r="1122" customFormat="false" ht="15.75" hidden="false" customHeight="false" outlineLevel="0" collapsed="false">
      <c r="A1122" s="2"/>
      <c r="B1122" s="2"/>
      <c r="C1122" s="2"/>
      <c r="D1122" s="2"/>
      <c r="E1122" s="2"/>
      <c r="F1122" s="2"/>
      <c r="G1122" s="2"/>
      <c r="I1122" s="7"/>
      <c r="J1122" s="5"/>
      <c r="K1122" s="5"/>
      <c r="L1122" s="5"/>
      <c r="N1122" s="2"/>
      <c r="O1122" s="2"/>
      <c r="P1122" s="2"/>
      <c r="Q1122" s="2"/>
      <c r="R1122" s="2"/>
      <c r="S1122" s="2"/>
      <c r="T1122" s="10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IU1122" s="2"/>
      <c r="IV1122" s="2"/>
      <c r="IW1122" s="2"/>
      <c r="IX1122" s="2"/>
      <c r="IY1122" s="2"/>
      <c r="IZ1122" s="2"/>
      <c r="JA1122" s="2"/>
      <c r="JB1122" s="2"/>
      <c r="JC1122" s="2"/>
    </row>
    <row r="1123" customFormat="false" ht="15.75" hidden="false" customHeight="false" outlineLevel="0" collapsed="false">
      <c r="A1123" s="2"/>
      <c r="B1123" s="2"/>
      <c r="C1123" s="2"/>
      <c r="D1123" s="2"/>
      <c r="E1123" s="2"/>
      <c r="F1123" s="2"/>
      <c r="G1123" s="2"/>
      <c r="I1123" s="7"/>
      <c r="J1123" s="5"/>
      <c r="K1123" s="5"/>
      <c r="L1123" s="5"/>
      <c r="N1123" s="2"/>
      <c r="O1123" s="2"/>
      <c r="P1123" s="2"/>
      <c r="Q1123" s="2"/>
      <c r="R1123" s="2"/>
      <c r="S1123" s="2"/>
      <c r="T1123" s="10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IU1123" s="2"/>
      <c r="IV1123" s="2"/>
      <c r="IW1123" s="2"/>
      <c r="IX1123" s="2"/>
      <c r="IY1123" s="2"/>
      <c r="IZ1123" s="2"/>
      <c r="JA1123" s="2"/>
      <c r="JB1123" s="2"/>
      <c r="JC1123" s="2"/>
    </row>
    <row r="1124" customFormat="false" ht="15.75" hidden="false" customHeight="false" outlineLevel="0" collapsed="false">
      <c r="A1124" s="2"/>
      <c r="B1124" s="2"/>
      <c r="C1124" s="2"/>
      <c r="D1124" s="2"/>
      <c r="E1124" s="2"/>
      <c r="F1124" s="2"/>
      <c r="G1124" s="2"/>
      <c r="I1124" s="7"/>
      <c r="J1124" s="5"/>
      <c r="K1124" s="5"/>
      <c r="L1124" s="5"/>
      <c r="N1124" s="2"/>
      <c r="O1124" s="2"/>
      <c r="P1124" s="2"/>
      <c r="Q1124" s="2"/>
      <c r="R1124" s="2"/>
      <c r="S1124" s="2"/>
      <c r="T1124" s="10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IU1124" s="2"/>
      <c r="IV1124" s="2"/>
      <c r="IW1124" s="2"/>
      <c r="IX1124" s="2"/>
      <c r="IY1124" s="2"/>
      <c r="IZ1124" s="2"/>
      <c r="JA1124" s="2"/>
      <c r="JB1124" s="2"/>
      <c r="JC1124" s="2"/>
    </row>
    <row r="1125" customFormat="false" ht="15.75" hidden="false" customHeight="false" outlineLevel="0" collapsed="false">
      <c r="A1125" s="2"/>
      <c r="B1125" s="2"/>
      <c r="C1125" s="2"/>
      <c r="D1125" s="2"/>
      <c r="E1125" s="2"/>
      <c r="F1125" s="2"/>
      <c r="G1125" s="2"/>
      <c r="I1125" s="7"/>
      <c r="J1125" s="5"/>
      <c r="K1125" s="5"/>
      <c r="L1125" s="5"/>
      <c r="N1125" s="2"/>
      <c r="O1125" s="2"/>
      <c r="P1125" s="2"/>
      <c r="Q1125" s="2"/>
      <c r="R1125" s="2"/>
      <c r="S1125" s="2"/>
      <c r="T1125" s="10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IU1125" s="2"/>
      <c r="IV1125" s="2"/>
      <c r="IW1125" s="2"/>
      <c r="IX1125" s="2"/>
      <c r="IY1125" s="2"/>
      <c r="IZ1125" s="2"/>
      <c r="JA1125" s="2"/>
      <c r="JB1125" s="2"/>
      <c r="JC1125" s="2"/>
    </row>
    <row r="1126" customFormat="false" ht="15.75" hidden="false" customHeight="false" outlineLevel="0" collapsed="false">
      <c r="A1126" s="2"/>
      <c r="B1126" s="2"/>
      <c r="C1126" s="2"/>
      <c r="D1126" s="2"/>
      <c r="E1126" s="2"/>
      <c r="F1126" s="2"/>
      <c r="G1126" s="2"/>
      <c r="I1126" s="7"/>
      <c r="J1126" s="5"/>
      <c r="K1126" s="5"/>
      <c r="L1126" s="5"/>
      <c r="N1126" s="2"/>
      <c r="O1126" s="2"/>
      <c r="P1126" s="2"/>
      <c r="Q1126" s="2"/>
      <c r="R1126" s="2"/>
      <c r="S1126" s="2"/>
      <c r="T1126" s="10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IU1126" s="2"/>
      <c r="IV1126" s="2"/>
      <c r="IW1126" s="2"/>
      <c r="IX1126" s="2"/>
      <c r="IY1126" s="2"/>
      <c r="IZ1126" s="2"/>
      <c r="JA1126" s="2"/>
      <c r="JB1126" s="2"/>
      <c r="JC1126" s="2"/>
    </row>
    <row r="1127" customFormat="false" ht="15.75" hidden="false" customHeight="false" outlineLevel="0" collapsed="false">
      <c r="A1127" s="2"/>
      <c r="B1127" s="2"/>
      <c r="C1127" s="2"/>
      <c r="D1127" s="2"/>
      <c r="E1127" s="2"/>
      <c r="F1127" s="2"/>
      <c r="G1127" s="2"/>
      <c r="I1127" s="7"/>
      <c r="J1127" s="5"/>
      <c r="K1127" s="5"/>
      <c r="L1127" s="5"/>
      <c r="N1127" s="2"/>
      <c r="O1127" s="2"/>
      <c r="P1127" s="2"/>
      <c r="Q1127" s="2"/>
      <c r="R1127" s="2"/>
      <c r="S1127" s="2"/>
      <c r="T1127" s="10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IU1127" s="2"/>
      <c r="IV1127" s="2"/>
      <c r="IW1127" s="2"/>
      <c r="IX1127" s="2"/>
      <c r="IY1127" s="2"/>
      <c r="IZ1127" s="2"/>
      <c r="JA1127" s="2"/>
      <c r="JB1127" s="2"/>
      <c r="JC1127" s="2"/>
    </row>
    <row r="1128" customFormat="false" ht="15.75" hidden="false" customHeight="false" outlineLevel="0" collapsed="false">
      <c r="A1128" s="2"/>
      <c r="B1128" s="2"/>
      <c r="C1128" s="2"/>
      <c r="D1128" s="2"/>
      <c r="E1128" s="2"/>
      <c r="F1128" s="2"/>
      <c r="G1128" s="2"/>
      <c r="I1128" s="7"/>
      <c r="J1128" s="5"/>
      <c r="K1128" s="5"/>
      <c r="L1128" s="5"/>
      <c r="N1128" s="2"/>
      <c r="O1128" s="2"/>
      <c r="P1128" s="2"/>
      <c r="Q1128" s="2"/>
      <c r="R1128" s="2"/>
      <c r="S1128" s="2"/>
      <c r="T1128" s="10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IU1128" s="2"/>
      <c r="IV1128" s="2"/>
      <c r="IW1128" s="2"/>
      <c r="IX1128" s="2"/>
      <c r="IY1128" s="2"/>
      <c r="IZ1128" s="2"/>
      <c r="JA1128" s="2"/>
      <c r="JB1128" s="2"/>
      <c r="JC1128" s="2"/>
    </row>
    <row r="1129" customFormat="false" ht="15.75" hidden="false" customHeight="false" outlineLevel="0" collapsed="false">
      <c r="A1129" s="2"/>
      <c r="B1129" s="2"/>
      <c r="C1129" s="2"/>
      <c r="D1129" s="2"/>
      <c r="E1129" s="2"/>
      <c r="F1129" s="2"/>
      <c r="G1129" s="2"/>
      <c r="I1129" s="7"/>
      <c r="J1129" s="5"/>
      <c r="K1129" s="5"/>
      <c r="L1129" s="5"/>
      <c r="N1129" s="2"/>
      <c r="O1129" s="2"/>
      <c r="P1129" s="2"/>
      <c r="Q1129" s="2"/>
      <c r="R1129" s="2"/>
      <c r="S1129" s="2"/>
      <c r="T1129" s="10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IU1129" s="2"/>
      <c r="IV1129" s="2"/>
      <c r="IW1129" s="2"/>
      <c r="IX1129" s="2"/>
      <c r="IY1129" s="2"/>
      <c r="IZ1129" s="2"/>
      <c r="JA1129" s="2"/>
      <c r="JB1129" s="2"/>
      <c r="JC1129" s="2"/>
    </row>
    <row r="1130" customFormat="false" ht="15.75" hidden="false" customHeight="false" outlineLevel="0" collapsed="false">
      <c r="A1130" s="2"/>
      <c r="B1130" s="2"/>
      <c r="C1130" s="2"/>
      <c r="D1130" s="2"/>
      <c r="E1130" s="2"/>
      <c r="F1130" s="2"/>
      <c r="G1130" s="2"/>
      <c r="I1130" s="7"/>
      <c r="J1130" s="5"/>
      <c r="K1130" s="5"/>
      <c r="L1130" s="5"/>
      <c r="N1130" s="2"/>
      <c r="O1130" s="2"/>
      <c r="P1130" s="2"/>
      <c r="Q1130" s="2"/>
      <c r="R1130" s="2"/>
      <c r="S1130" s="2"/>
      <c r="T1130" s="10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IU1130" s="2"/>
      <c r="IV1130" s="2"/>
      <c r="IW1130" s="2"/>
      <c r="IX1130" s="2"/>
      <c r="IY1130" s="2"/>
      <c r="IZ1130" s="2"/>
      <c r="JA1130" s="2"/>
      <c r="JB1130" s="2"/>
      <c r="JC1130" s="2"/>
    </row>
    <row r="1131" customFormat="false" ht="15.75" hidden="false" customHeight="false" outlineLevel="0" collapsed="false">
      <c r="A1131" s="2"/>
      <c r="B1131" s="2"/>
      <c r="C1131" s="2"/>
      <c r="D1131" s="2"/>
      <c r="E1131" s="2"/>
      <c r="F1131" s="2"/>
      <c r="G1131" s="2"/>
      <c r="I1131" s="7"/>
      <c r="J1131" s="5"/>
      <c r="K1131" s="5"/>
      <c r="L1131" s="5"/>
      <c r="N1131" s="2"/>
      <c r="O1131" s="2"/>
      <c r="P1131" s="2"/>
      <c r="Q1131" s="2"/>
      <c r="R1131" s="2"/>
      <c r="S1131" s="2"/>
      <c r="T1131" s="10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IU1131" s="2"/>
      <c r="IV1131" s="2"/>
      <c r="IW1131" s="2"/>
      <c r="IX1131" s="2"/>
      <c r="IY1131" s="2"/>
      <c r="IZ1131" s="2"/>
      <c r="JA1131" s="2"/>
      <c r="JB1131" s="2"/>
      <c r="JC1131" s="2"/>
    </row>
    <row r="1132" customFormat="false" ht="15.75" hidden="false" customHeight="false" outlineLevel="0" collapsed="false">
      <c r="A1132" s="2"/>
      <c r="B1132" s="2"/>
      <c r="C1132" s="2"/>
      <c r="D1132" s="2"/>
      <c r="E1132" s="2"/>
      <c r="F1132" s="2"/>
      <c r="G1132" s="2"/>
      <c r="I1132" s="7"/>
      <c r="J1132" s="5"/>
      <c r="K1132" s="5"/>
      <c r="L1132" s="5"/>
      <c r="N1132" s="2"/>
      <c r="O1132" s="2"/>
      <c r="P1132" s="2"/>
      <c r="Q1132" s="2"/>
      <c r="R1132" s="2"/>
      <c r="S1132" s="2"/>
      <c r="T1132" s="10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IU1132" s="2"/>
      <c r="IV1132" s="2"/>
      <c r="IW1132" s="2"/>
      <c r="IX1132" s="2"/>
      <c r="IY1132" s="2"/>
      <c r="IZ1132" s="2"/>
      <c r="JA1132" s="2"/>
      <c r="JB1132" s="2"/>
      <c r="JC1132" s="2"/>
    </row>
    <row r="1133" customFormat="false" ht="15.75" hidden="false" customHeight="false" outlineLevel="0" collapsed="false">
      <c r="A1133" s="2"/>
      <c r="B1133" s="2"/>
      <c r="C1133" s="2"/>
      <c r="D1133" s="2"/>
      <c r="E1133" s="2"/>
      <c r="F1133" s="2"/>
      <c r="G1133" s="2"/>
      <c r="I1133" s="7"/>
      <c r="J1133" s="5"/>
      <c r="K1133" s="5"/>
      <c r="L1133" s="5"/>
      <c r="N1133" s="2"/>
      <c r="O1133" s="2"/>
      <c r="P1133" s="2"/>
      <c r="Q1133" s="2"/>
      <c r="R1133" s="2"/>
      <c r="S1133" s="2"/>
      <c r="T1133" s="10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IU1133" s="2"/>
      <c r="IV1133" s="2"/>
      <c r="IW1133" s="2"/>
      <c r="IX1133" s="2"/>
      <c r="IY1133" s="2"/>
      <c r="IZ1133" s="2"/>
      <c r="JA1133" s="2"/>
      <c r="JB1133" s="2"/>
      <c r="JC1133" s="2"/>
    </row>
    <row r="1134" customFormat="false" ht="15.75" hidden="false" customHeight="false" outlineLevel="0" collapsed="false">
      <c r="A1134" s="2"/>
      <c r="B1134" s="2"/>
      <c r="C1134" s="2"/>
      <c r="D1134" s="2"/>
      <c r="E1134" s="2"/>
      <c r="F1134" s="2"/>
      <c r="G1134" s="2"/>
      <c r="I1134" s="7"/>
      <c r="J1134" s="5"/>
      <c r="K1134" s="5"/>
      <c r="L1134" s="5"/>
      <c r="N1134" s="2"/>
      <c r="O1134" s="2"/>
      <c r="P1134" s="2"/>
      <c r="Q1134" s="2"/>
      <c r="R1134" s="2"/>
      <c r="S1134" s="2"/>
      <c r="T1134" s="10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IU1134" s="2"/>
      <c r="IV1134" s="2"/>
      <c r="IW1134" s="2"/>
      <c r="IX1134" s="2"/>
      <c r="IY1134" s="2"/>
      <c r="IZ1134" s="2"/>
      <c r="JA1134" s="2"/>
      <c r="JB1134" s="2"/>
      <c r="JC1134" s="2"/>
    </row>
    <row r="1135" customFormat="false" ht="15.75" hidden="false" customHeight="false" outlineLevel="0" collapsed="false">
      <c r="A1135" s="2"/>
      <c r="B1135" s="2"/>
      <c r="C1135" s="2"/>
      <c r="D1135" s="2"/>
      <c r="E1135" s="2"/>
      <c r="F1135" s="2"/>
      <c r="G1135" s="2"/>
      <c r="I1135" s="7"/>
      <c r="J1135" s="5"/>
      <c r="K1135" s="5"/>
      <c r="L1135" s="5"/>
      <c r="N1135" s="2"/>
      <c r="O1135" s="2"/>
      <c r="P1135" s="2"/>
      <c r="Q1135" s="2"/>
      <c r="R1135" s="2"/>
      <c r="S1135" s="2"/>
      <c r="T1135" s="10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IU1135" s="2"/>
      <c r="IV1135" s="2"/>
      <c r="IW1135" s="2"/>
      <c r="IX1135" s="2"/>
      <c r="IY1135" s="2"/>
      <c r="IZ1135" s="2"/>
      <c r="JA1135" s="2"/>
      <c r="JB1135" s="2"/>
      <c r="JC1135" s="2"/>
    </row>
    <row r="1136" customFormat="false" ht="15.75" hidden="false" customHeight="false" outlineLevel="0" collapsed="false">
      <c r="A1136" s="2"/>
      <c r="B1136" s="2"/>
      <c r="C1136" s="2"/>
      <c r="D1136" s="2"/>
      <c r="E1136" s="2"/>
      <c r="F1136" s="2"/>
      <c r="G1136" s="2"/>
      <c r="I1136" s="7"/>
      <c r="J1136" s="5"/>
      <c r="K1136" s="5"/>
      <c r="L1136" s="5"/>
      <c r="N1136" s="2"/>
      <c r="O1136" s="2"/>
      <c r="P1136" s="2"/>
      <c r="Q1136" s="2"/>
      <c r="R1136" s="2"/>
      <c r="S1136" s="2"/>
      <c r="T1136" s="10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IU1136" s="2"/>
      <c r="IV1136" s="2"/>
      <c r="IW1136" s="2"/>
      <c r="IX1136" s="2"/>
      <c r="IY1136" s="2"/>
      <c r="IZ1136" s="2"/>
      <c r="JA1136" s="2"/>
      <c r="JB1136" s="2"/>
      <c r="JC1136" s="2"/>
    </row>
    <row r="1137" customFormat="false" ht="15.75" hidden="false" customHeight="false" outlineLevel="0" collapsed="false">
      <c r="A1137" s="2"/>
      <c r="B1137" s="2"/>
      <c r="C1137" s="2"/>
      <c r="D1137" s="2"/>
      <c r="E1137" s="2"/>
      <c r="F1137" s="2"/>
      <c r="G1137" s="2"/>
      <c r="I1137" s="7"/>
      <c r="J1137" s="5"/>
      <c r="K1137" s="5"/>
      <c r="L1137" s="5"/>
      <c r="N1137" s="2"/>
      <c r="O1137" s="2"/>
      <c r="P1137" s="2"/>
      <c r="Q1137" s="2"/>
      <c r="R1137" s="2"/>
      <c r="S1137" s="2"/>
      <c r="T1137" s="10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IU1137" s="2"/>
      <c r="IV1137" s="2"/>
      <c r="IW1137" s="2"/>
      <c r="IX1137" s="2"/>
      <c r="IY1137" s="2"/>
      <c r="IZ1137" s="2"/>
      <c r="JA1137" s="2"/>
      <c r="JB1137" s="2"/>
      <c r="JC1137" s="2"/>
    </row>
    <row r="1138" customFormat="false" ht="15.75" hidden="false" customHeight="false" outlineLevel="0" collapsed="false">
      <c r="A1138" s="2"/>
      <c r="B1138" s="2"/>
      <c r="C1138" s="2"/>
      <c r="D1138" s="2"/>
      <c r="E1138" s="2"/>
      <c r="F1138" s="2"/>
      <c r="G1138" s="2"/>
      <c r="I1138" s="7"/>
      <c r="J1138" s="5"/>
      <c r="K1138" s="5"/>
      <c r="L1138" s="5"/>
      <c r="N1138" s="2"/>
      <c r="O1138" s="2"/>
      <c r="P1138" s="2"/>
      <c r="Q1138" s="2"/>
      <c r="R1138" s="2"/>
      <c r="S1138" s="2"/>
      <c r="T1138" s="10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IU1138" s="2"/>
      <c r="IV1138" s="2"/>
      <c r="IW1138" s="2"/>
      <c r="IX1138" s="2"/>
      <c r="IY1138" s="2"/>
      <c r="IZ1138" s="2"/>
      <c r="JA1138" s="2"/>
      <c r="JB1138" s="2"/>
      <c r="JC1138" s="2"/>
    </row>
    <row r="1139" customFormat="false" ht="15.75" hidden="false" customHeight="false" outlineLevel="0" collapsed="false">
      <c r="A1139" s="2"/>
      <c r="B1139" s="2"/>
      <c r="C1139" s="2"/>
      <c r="D1139" s="2"/>
      <c r="E1139" s="2"/>
      <c r="F1139" s="2"/>
      <c r="G1139" s="2"/>
      <c r="I1139" s="7"/>
      <c r="J1139" s="5"/>
      <c r="K1139" s="5"/>
      <c r="L1139" s="5"/>
      <c r="N1139" s="2"/>
      <c r="O1139" s="2"/>
      <c r="P1139" s="2"/>
      <c r="Q1139" s="2"/>
      <c r="R1139" s="2"/>
      <c r="S1139" s="2"/>
      <c r="T1139" s="10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IU1139" s="2"/>
      <c r="IV1139" s="2"/>
      <c r="IW1139" s="2"/>
      <c r="IX1139" s="2"/>
      <c r="IY1139" s="2"/>
      <c r="IZ1139" s="2"/>
      <c r="JA1139" s="2"/>
      <c r="JB1139" s="2"/>
      <c r="JC1139" s="2"/>
    </row>
    <row r="1140" customFormat="false" ht="15.75" hidden="false" customHeight="false" outlineLevel="0" collapsed="false">
      <c r="A1140" s="2"/>
      <c r="B1140" s="2"/>
      <c r="C1140" s="2"/>
      <c r="D1140" s="2"/>
      <c r="E1140" s="2"/>
      <c r="F1140" s="2"/>
      <c r="G1140" s="2"/>
      <c r="I1140" s="7"/>
      <c r="J1140" s="5"/>
      <c r="K1140" s="5"/>
      <c r="L1140" s="5"/>
      <c r="N1140" s="2"/>
      <c r="O1140" s="2"/>
      <c r="P1140" s="2"/>
      <c r="Q1140" s="2"/>
      <c r="R1140" s="2"/>
      <c r="S1140" s="2"/>
      <c r="T1140" s="10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IU1140" s="2"/>
      <c r="IV1140" s="2"/>
      <c r="IW1140" s="2"/>
      <c r="IX1140" s="2"/>
      <c r="IY1140" s="2"/>
      <c r="IZ1140" s="2"/>
      <c r="JA1140" s="2"/>
      <c r="JB1140" s="2"/>
      <c r="JC1140" s="2"/>
    </row>
    <row r="1141" customFormat="false" ht="15.75" hidden="false" customHeight="false" outlineLevel="0" collapsed="false">
      <c r="A1141" s="2"/>
      <c r="B1141" s="2"/>
      <c r="C1141" s="2"/>
      <c r="D1141" s="2"/>
      <c r="E1141" s="2"/>
      <c r="F1141" s="2"/>
      <c r="G1141" s="2"/>
      <c r="I1141" s="7"/>
      <c r="J1141" s="5"/>
      <c r="K1141" s="5"/>
      <c r="L1141" s="5"/>
      <c r="N1141" s="2"/>
      <c r="O1141" s="2"/>
      <c r="P1141" s="2"/>
      <c r="Q1141" s="2"/>
      <c r="R1141" s="2"/>
      <c r="S1141" s="2"/>
      <c r="T1141" s="10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IU1141" s="2"/>
      <c r="IV1141" s="2"/>
      <c r="IW1141" s="2"/>
      <c r="IX1141" s="2"/>
      <c r="IY1141" s="2"/>
      <c r="IZ1141" s="2"/>
      <c r="JA1141" s="2"/>
      <c r="JB1141" s="2"/>
      <c r="JC1141" s="2"/>
    </row>
    <row r="1142" customFormat="false" ht="15.75" hidden="false" customHeight="false" outlineLevel="0" collapsed="false">
      <c r="A1142" s="2"/>
      <c r="B1142" s="2"/>
      <c r="C1142" s="2"/>
      <c r="D1142" s="2"/>
      <c r="E1142" s="2"/>
      <c r="F1142" s="2"/>
      <c r="G1142" s="2"/>
      <c r="I1142" s="7"/>
      <c r="J1142" s="5"/>
      <c r="K1142" s="5"/>
      <c r="L1142" s="5"/>
      <c r="N1142" s="2"/>
      <c r="O1142" s="2"/>
      <c r="P1142" s="2"/>
      <c r="Q1142" s="2"/>
      <c r="R1142" s="2"/>
      <c r="S1142" s="2"/>
      <c r="T1142" s="10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IU1142" s="2"/>
      <c r="IV1142" s="2"/>
      <c r="IW1142" s="2"/>
      <c r="IX1142" s="2"/>
      <c r="IY1142" s="2"/>
      <c r="IZ1142" s="2"/>
      <c r="JA1142" s="2"/>
      <c r="JB1142" s="2"/>
      <c r="JC1142" s="2"/>
    </row>
    <row r="1143" customFormat="false" ht="15.75" hidden="false" customHeight="false" outlineLevel="0" collapsed="false">
      <c r="A1143" s="2"/>
      <c r="B1143" s="2"/>
      <c r="C1143" s="2"/>
      <c r="D1143" s="2"/>
      <c r="E1143" s="2"/>
      <c r="F1143" s="2"/>
      <c r="G1143" s="2"/>
      <c r="I1143" s="7"/>
      <c r="J1143" s="5"/>
      <c r="K1143" s="5"/>
      <c r="L1143" s="5"/>
      <c r="N1143" s="2"/>
      <c r="O1143" s="2"/>
      <c r="P1143" s="2"/>
      <c r="Q1143" s="2"/>
      <c r="R1143" s="2"/>
      <c r="S1143" s="2"/>
      <c r="T1143" s="10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IU1143" s="2"/>
      <c r="IV1143" s="2"/>
      <c r="IW1143" s="2"/>
      <c r="IX1143" s="2"/>
      <c r="IY1143" s="2"/>
      <c r="IZ1143" s="2"/>
      <c r="JA1143" s="2"/>
      <c r="JB1143" s="2"/>
      <c r="JC1143" s="2"/>
    </row>
    <row r="1144" customFormat="false" ht="15.75" hidden="false" customHeight="false" outlineLevel="0" collapsed="false">
      <c r="A1144" s="2"/>
      <c r="B1144" s="2"/>
      <c r="C1144" s="2"/>
      <c r="D1144" s="2"/>
      <c r="E1144" s="2"/>
      <c r="F1144" s="2"/>
      <c r="G1144" s="2"/>
      <c r="I1144" s="7"/>
      <c r="J1144" s="5"/>
      <c r="K1144" s="5"/>
      <c r="L1144" s="5"/>
      <c r="N1144" s="2"/>
      <c r="O1144" s="2"/>
      <c r="P1144" s="2"/>
      <c r="Q1144" s="2"/>
      <c r="R1144" s="2"/>
      <c r="S1144" s="2"/>
      <c r="T1144" s="10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IU1144" s="2"/>
      <c r="IV1144" s="2"/>
      <c r="IW1144" s="2"/>
      <c r="IX1144" s="2"/>
      <c r="IY1144" s="2"/>
      <c r="IZ1144" s="2"/>
      <c r="JA1144" s="2"/>
      <c r="JB1144" s="2"/>
      <c r="JC1144" s="2"/>
    </row>
    <row r="1145" customFormat="false" ht="15.75" hidden="false" customHeight="false" outlineLevel="0" collapsed="false">
      <c r="A1145" s="2"/>
      <c r="B1145" s="2"/>
      <c r="C1145" s="2"/>
      <c r="D1145" s="2"/>
      <c r="E1145" s="2"/>
      <c r="F1145" s="2"/>
      <c r="G1145" s="2"/>
      <c r="I1145" s="7"/>
      <c r="J1145" s="5"/>
      <c r="K1145" s="5"/>
      <c r="L1145" s="5"/>
      <c r="N1145" s="2"/>
      <c r="O1145" s="2"/>
      <c r="P1145" s="2"/>
      <c r="Q1145" s="2"/>
      <c r="R1145" s="2"/>
      <c r="S1145" s="2"/>
      <c r="T1145" s="10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IU1145" s="2"/>
      <c r="IV1145" s="2"/>
      <c r="IW1145" s="2"/>
      <c r="IX1145" s="2"/>
      <c r="IY1145" s="2"/>
      <c r="IZ1145" s="2"/>
      <c r="JA1145" s="2"/>
      <c r="JB1145" s="2"/>
      <c r="JC1145" s="2"/>
    </row>
    <row r="1146" customFormat="false" ht="15.75" hidden="false" customHeight="false" outlineLevel="0" collapsed="false">
      <c r="A1146" s="2"/>
      <c r="B1146" s="2"/>
      <c r="C1146" s="2"/>
      <c r="D1146" s="2"/>
      <c r="E1146" s="2"/>
      <c r="F1146" s="2"/>
      <c r="G1146" s="2"/>
      <c r="I1146" s="7"/>
      <c r="J1146" s="5"/>
      <c r="K1146" s="5"/>
      <c r="L1146" s="5"/>
      <c r="N1146" s="2"/>
      <c r="O1146" s="2"/>
      <c r="P1146" s="2"/>
      <c r="Q1146" s="2"/>
      <c r="R1146" s="2"/>
      <c r="S1146" s="2"/>
      <c r="T1146" s="10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IU1146" s="2"/>
      <c r="IV1146" s="2"/>
      <c r="IW1146" s="2"/>
      <c r="IX1146" s="2"/>
      <c r="IY1146" s="2"/>
      <c r="IZ1146" s="2"/>
      <c r="JA1146" s="2"/>
      <c r="JB1146" s="2"/>
      <c r="JC1146" s="2"/>
    </row>
    <row r="1147" customFormat="false" ht="15.75" hidden="false" customHeight="false" outlineLevel="0" collapsed="false">
      <c r="A1147" s="2"/>
      <c r="B1147" s="2"/>
      <c r="C1147" s="2"/>
      <c r="D1147" s="2"/>
      <c r="E1147" s="2"/>
      <c r="F1147" s="2"/>
      <c r="G1147" s="2"/>
      <c r="I1147" s="7"/>
      <c r="J1147" s="5"/>
      <c r="K1147" s="5"/>
      <c r="L1147" s="5"/>
      <c r="N1147" s="2"/>
      <c r="O1147" s="2"/>
      <c r="P1147" s="2"/>
      <c r="Q1147" s="2"/>
      <c r="R1147" s="2"/>
      <c r="S1147" s="2"/>
      <c r="T1147" s="10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IU1147" s="2"/>
      <c r="IV1147" s="2"/>
      <c r="IW1147" s="2"/>
      <c r="IX1147" s="2"/>
      <c r="IY1147" s="2"/>
      <c r="IZ1147" s="2"/>
      <c r="JA1147" s="2"/>
      <c r="JB1147" s="2"/>
      <c r="JC1147" s="2"/>
    </row>
    <row r="1148" customFormat="false" ht="15.75" hidden="false" customHeight="false" outlineLevel="0" collapsed="false">
      <c r="A1148" s="2"/>
      <c r="B1148" s="2"/>
      <c r="C1148" s="2"/>
      <c r="D1148" s="2"/>
      <c r="E1148" s="2"/>
      <c r="F1148" s="2"/>
      <c r="G1148" s="2"/>
      <c r="I1148" s="7"/>
      <c r="J1148" s="5"/>
      <c r="K1148" s="5"/>
      <c r="L1148" s="5"/>
      <c r="N1148" s="2"/>
      <c r="O1148" s="2"/>
      <c r="P1148" s="2"/>
      <c r="Q1148" s="2"/>
      <c r="R1148" s="2"/>
      <c r="S1148" s="2"/>
      <c r="T1148" s="10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IU1148" s="2"/>
      <c r="IV1148" s="2"/>
      <c r="IW1148" s="2"/>
      <c r="IX1148" s="2"/>
      <c r="IY1148" s="2"/>
      <c r="IZ1148" s="2"/>
      <c r="JA1148" s="2"/>
      <c r="JB1148" s="2"/>
      <c r="JC1148" s="2"/>
    </row>
    <row r="1149" customFormat="false" ht="15.75" hidden="false" customHeight="false" outlineLevel="0" collapsed="false">
      <c r="A1149" s="2"/>
      <c r="B1149" s="2"/>
      <c r="C1149" s="2"/>
      <c r="D1149" s="2"/>
      <c r="E1149" s="2"/>
      <c r="F1149" s="2"/>
      <c r="G1149" s="2"/>
      <c r="I1149" s="7"/>
      <c r="J1149" s="5"/>
      <c r="K1149" s="5"/>
      <c r="L1149" s="5"/>
      <c r="N1149" s="2"/>
      <c r="O1149" s="2"/>
      <c r="P1149" s="2"/>
      <c r="Q1149" s="2"/>
      <c r="R1149" s="2"/>
      <c r="S1149" s="2"/>
      <c r="T1149" s="10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IU1149" s="2"/>
      <c r="IV1149" s="2"/>
      <c r="IW1149" s="2"/>
      <c r="IX1149" s="2"/>
      <c r="IY1149" s="2"/>
      <c r="IZ1149" s="2"/>
      <c r="JA1149" s="2"/>
      <c r="JB1149" s="2"/>
      <c r="JC1149" s="2"/>
    </row>
    <row r="1150" customFormat="false" ht="15.75" hidden="false" customHeight="false" outlineLevel="0" collapsed="false">
      <c r="A1150" s="2"/>
      <c r="B1150" s="2"/>
      <c r="C1150" s="2"/>
      <c r="D1150" s="2"/>
      <c r="E1150" s="2"/>
      <c r="F1150" s="2"/>
      <c r="G1150" s="2"/>
      <c r="I1150" s="7"/>
      <c r="J1150" s="5"/>
      <c r="K1150" s="5"/>
      <c r="L1150" s="5"/>
      <c r="N1150" s="2"/>
      <c r="O1150" s="2"/>
      <c r="P1150" s="2"/>
      <c r="Q1150" s="2"/>
      <c r="R1150" s="2"/>
      <c r="S1150" s="2"/>
      <c r="T1150" s="10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IU1150" s="2"/>
      <c r="IV1150" s="2"/>
      <c r="IW1150" s="2"/>
      <c r="IX1150" s="2"/>
      <c r="IY1150" s="2"/>
      <c r="IZ1150" s="2"/>
      <c r="JA1150" s="2"/>
      <c r="JB1150" s="2"/>
      <c r="JC1150" s="2"/>
    </row>
    <row r="1151" customFormat="false" ht="15.75" hidden="false" customHeight="false" outlineLevel="0" collapsed="false">
      <c r="A1151" s="2"/>
      <c r="B1151" s="2"/>
      <c r="C1151" s="2"/>
      <c r="D1151" s="2"/>
      <c r="E1151" s="2"/>
      <c r="F1151" s="2"/>
      <c r="G1151" s="2"/>
      <c r="I1151" s="7"/>
      <c r="J1151" s="5"/>
      <c r="K1151" s="5"/>
      <c r="L1151" s="5"/>
      <c r="N1151" s="2"/>
      <c r="O1151" s="2"/>
      <c r="P1151" s="2"/>
      <c r="Q1151" s="2"/>
      <c r="R1151" s="2"/>
      <c r="S1151" s="2"/>
      <c r="T1151" s="10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IU1151" s="2"/>
      <c r="IV1151" s="2"/>
      <c r="IW1151" s="2"/>
      <c r="IX1151" s="2"/>
      <c r="IY1151" s="2"/>
      <c r="IZ1151" s="2"/>
      <c r="JA1151" s="2"/>
      <c r="JB1151" s="2"/>
      <c r="JC1151" s="2"/>
    </row>
    <row r="1152" customFormat="false" ht="15.75" hidden="false" customHeight="false" outlineLevel="0" collapsed="false">
      <c r="A1152" s="2"/>
      <c r="B1152" s="2"/>
      <c r="C1152" s="2"/>
      <c r="D1152" s="2"/>
      <c r="E1152" s="2"/>
      <c r="F1152" s="2"/>
      <c r="G1152" s="2"/>
      <c r="I1152" s="7"/>
      <c r="J1152" s="5"/>
      <c r="K1152" s="5"/>
      <c r="L1152" s="5"/>
      <c r="N1152" s="2"/>
      <c r="O1152" s="2"/>
      <c r="P1152" s="2"/>
      <c r="Q1152" s="2"/>
      <c r="R1152" s="2"/>
      <c r="S1152" s="2"/>
      <c r="T1152" s="10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IU1152" s="2"/>
      <c r="IV1152" s="2"/>
      <c r="IW1152" s="2"/>
      <c r="IX1152" s="2"/>
      <c r="IY1152" s="2"/>
      <c r="IZ1152" s="2"/>
      <c r="JA1152" s="2"/>
      <c r="JB1152" s="2"/>
      <c r="JC1152" s="2"/>
    </row>
    <row r="1153" customFormat="false" ht="15.75" hidden="false" customHeight="false" outlineLevel="0" collapsed="false">
      <c r="A1153" s="2"/>
      <c r="B1153" s="2"/>
      <c r="C1153" s="2"/>
      <c r="D1153" s="2"/>
      <c r="E1153" s="2"/>
      <c r="F1153" s="2"/>
      <c r="G1153" s="2"/>
      <c r="I1153" s="7"/>
      <c r="J1153" s="5"/>
      <c r="K1153" s="5"/>
      <c r="L1153" s="5"/>
      <c r="N1153" s="2"/>
      <c r="O1153" s="2"/>
      <c r="P1153" s="2"/>
      <c r="Q1153" s="2"/>
      <c r="R1153" s="2"/>
      <c r="S1153" s="2"/>
      <c r="T1153" s="10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IU1153" s="2"/>
      <c r="IV1153" s="2"/>
      <c r="IW1153" s="2"/>
      <c r="IX1153" s="2"/>
      <c r="IY1153" s="2"/>
      <c r="IZ1153" s="2"/>
      <c r="JA1153" s="2"/>
      <c r="JB1153" s="2"/>
      <c r="JC1153" s="2"/>
    </row>
    <row r="1154" customFormat="false" ht="15.75" hidden="false" customHeight="false" outlineLevel="0" collapsed="false">
      <c r="A1154" s="2"/>
      <c r="B1154" s="2"/>
      <c r="C1154" s="2"/>
      <c r="D1154" s="2"/>
      <c r="E1154" s="2"/>
      <c r="F1154" s="2"/>
      <c r="G1154" s="2"/>
      <c r="I1154" s="7"/>
      <c r="J1154" s="5"/>
      <c r="K1154" s="5"/>
      <c r="L1154" s="5"/>
      <c r="N1154" s="2"/>
      <c r="O1154" s="2"/>
      <c r="P1154" s="2"/>
      <c r="Q1154" s="2"/>
      <c r="R1154" s="2"/>
      <c r="S1154" s="2"/>
      <c r="T1154" s="10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IU1154" s="2"/>
      <c r="IV1154" s="2"/>
      <c r="IW1154" s="2"/>
      <c r="IX1154" s="2"/>
      <c r="IY1154" s="2"/>
      <c r="IZ1154" s="2"/>
      <c r="JA1154" s="2"/>
      <c r="JB1154" s="2"/>
      <c r="JC1154" s="2"/>
    </row>
    <row r="1155" customFormat="false" ht="15.75" hidden="false" customHeight="false" outlineLevel="0" collapsed="false">
      <c r="A1155" s="2"/>
      <c r="B1155" s="2"/>
      <c r="C1155" s="2"/>
      <c r="D1155" s="2"/>
      <c r="E1155" s="2"/>
      <c r="F1155" s="2"/>
      <c r="G1155" s="2"/>
      <c r="I1155" s="7"/>
      <c r="J1155" s="5"/>
      <c r="K1155" s="5"/>
      <c r="L1155" s="5"/>
      <c r="N1155" s="2"/>
      <c r="O1155" s="2"/>
      <c r="P1155" s="2"/>
      <c r="Q1155" s="2"/>
      <c r="R1155" s="2"/>
      <c r="S1155" s="2"/>
      <c r="T1155" s="10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IU1155" s="2"/>
      <c r="IV1155" s="2"/>
      <c r="IW1155" s="2"/>
      <c r="IX1155" s="2"/>
      <c r="IY1155" s="2"/>
      <c r="IZ1155" s="2"/>
      <c r="JA1155" s="2"/>
      <c r="JB1155" s="2"/>
      <c r="JC1155" s="2"/>
    </row>
    <row r="1156" customFormat="false" ht="15.75" hidden="false" customHeight="false" outlineLevel="0" collapsed="false">
      <c r="A1156" s="2"/>
      <c r="B1156" s="2"/>
      <c r="C1156" s="2"/>
      <c r="D1156" s="2"/>
      <c r="E1156" s="2"/>
      <c r="F1156" s="2"/>
      <c r="G1156" s="2"/>
      <c r="I1156" s="7"/>
      <c r="J1156" s="5"/>
      <c r="K1156" s="5"/>
      <c r="L1156" s="5"/>
      <c r="N1156" s="2"/>
      <c r="O1156" s="2"/>
      <c r="P1156" s="2"/>
      <c r="Q1156" s="2"/>
      <c r="R1156" s="2"/>
      <c r="S1156" s="2"/>
      <c r="T1156" s="10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IU1156" s="2"/>
      <c r="IV1156" s="2"/>
      <c r="IW1156" s="2"/>
      <c r="IX1156" s="2"/>
      <c r="IY1156" s="2"/>
      <c r="IZ1156" s="2"/>
      <c r="JA1156" s="2"/>
      <c r="JB1156" s="2"/>
      <c r="JC1156" s="2"/>
    </row>
    <row r="1157" customFormat="false" ht="15.75" hidden="false" customHeight="false" outlineLevel="0" collapsed="false">
      <c r="A1157" s="2"/>
      <c r="B1157" s="2"/>
      <c r="C1157" s="2"/>
      <c r="D1157" s="2"/>
      <c r="E1157" s="2"/>
      <c r="F1157" s="2"/>
      <c r="G1157" s="2"/>
      <c r="I1157" s="7"/>
      <c r="J1157" s="5"/>
      <c r="K1157" s="5"/>
      <c r="L1157" s="5"/>
      <c r="N1157" s="2"/>
      <c r="O1157" s="2"/>
      <c r="P1157" s="2"/>
      <c r="Q1157" s="2"/>
      <c r="R1157" s="2"/>
      <c r="S1157" s="2"/>
      <c r="T1157" s="10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IU1157" s="2"/>
      <c r="IV1157" s="2"/>
      <c r="IW1157" s="2"/>
      <c r="IX1157" s="2"/>
      <c r="IY1157" s="2"/>
      <c r="IZ1157" s="2"/>
      <c r="JA1157" s="2"/>
      <c r="JB1157" s="2"/>
      <c r="JC1157" s="2"/>
    </row>
    <row r="1158" customFormat="false" ht="15.75" hidden="false" customHeight="false" outlineLevel="0" collapsed="false">
      <c r="A1158" s="2"/>
      <c r="B1158" s="2"/>
      <c r="C1158" s="2"/>
      <c r="D1158" s="2"/>
      <c r="E1158" s="2"/>
      <c r="F1158" s="2"/>
      <c r="G1158" s="2"/>
      <c r="I1158" s="7"/>
      <c r="J1158" s="5"/>
      <c r="K1158" s="5"/>
      <c r="L1158" s="5"/>
      <c r="N1158" s="2"/>
      <c r="O1158" s="2"/>
      <c r="P1158" s="2"/>
      <c r="Q1158" s="2"/>
      <c r="R1158" s="2"/>
      <c r="S1158" s="2"/>
      <c r="T1158" s="10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IU1158" s="2"/>
      <c r="IV1158" s="2"/>
      <c r="IW1158" s="2"/>
      <c r="IX1158" s="2"/>
      <c r="IY1158" s="2"/>
      <c r="IZ1158" s="2"/>
      <c r="JA1158" s="2"/>
      <c r="JB1158" s="2"/>
      <c r="JC1158" s="2"/>
    </row>
    <row r="1159" customFormat="false" ht="15.75" hidden="false" customHeight="false" outlineLevel="0" collapsed="false">
      <c r="A1159" s="2"/>
      <c r="B1159" s="2"/>
      <c r="C1159" s="2"/>
      <c r="D1159" s="2"/>
      <c r="E1159" s="2"/>
      <c r="F1159" s="2"/>
      <c r="G1159" s="2"/>
      <c r="I1159" s="7"/>
      <c r="J1159" s="5"/>
      <c r="K1159" s="5"/>
      <c r="L1159" s="5"/>
      <c r="N1159" s="2"/>
      <c r="O1159" s="2"/>
      <c r="P1159" s="2"/>
      <c r="Q1159" s="2"/>
      <c r="R1159" s="2"/>
      <c r="S1159" s="2"/>
      <c r="T1159" s="10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IU1159" s="2"/>
      <c r="IV1159" s="2"/>
      <c r="IW1159" s="2"/>
      <c r="IX1159" s="2"/>
      <c r="IY1159" s="2"/>
      <c r="IZ1159" s="2"/>
      <c r="JA1159" s="2"/>
      <c r="JB1159" s="2"/>
      <c r="JC1159" s="2"/>
    </row>
    <row r="1160" customFormat="false" ht="15.75" hidden="false" customHeight="false" outlineLevel="0" collapsed="false">
      <c r="A1160" s="2"/>
      <c r="B1160" s="2"/>
      <c r="C1160" s="2"/>
      <c r="D1160" s="2"/>
      <c r="E1160" s="2"/>
      <c r="F1160" s="2"/>
      <c r="G1160" s="2"/>
      <c r="I1160" s="7"/>
      <c r="J1160" s="5"/>
      <c r="K1160" s="5"/>
      <c r="L1160" s="5"/>
      <c r="N1160" s="2"/>
      <c r="O1160" s="2"/>
      <c r="P1160" s="2"/>
      <c r="Q1160" s="2"/>
      <c r="R1160" s="2"/>
      <c r="S1160" s="2"/>
      <c r="T1160" s="10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IU1160" s="2"/>
      <c r="IV1160" s="2"/>
      <c r="IW1160" s="2"/>
      <c r="IX1160" s="2"/>
      <c r="IY1160" s="2"/>
      <c r="IZ1160" s="2"/>
      <c r="JA1160" s="2"/>
      <c r="JB1160" s="2"/>
      <c r="JC1160" s="2"/>
    </row>
    <row r="1161" customFormat="false" ht="15.75" hidden="false" customHeight="false" outlineLevel="0" collapsed="false">
      <c r="A1161" s="2"/>
      <c r="B1161" s="2"/>
      <c r="C1161" s="2"/>
      <c r="D1161" s="2"/>
      <c r="E1161" s="2"/>
      <c r="F1161" s="2"/>
      <c r="G1161" s="2"/>
      <c r="I1161" s="7"/>
      <c r="J1161" s="5"/>
      <c r="K1161" s="5"/>
      <c r="L1161" s="5"/>
      <c r="N1161" s="2"/>
      <c r="O1161" s="2"/>
      <c r="P1161" s="2"/>
      <c r="Q1161" s="2"/>
      <c r="R1161" s="2"/>
      <c r="S1161" s="2"/>
      <c r="T1161" s="10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IU1161" s="2"/>
      <c r="IV1161" s="2"/>
      <c r="IW1161" s="2"/>
      <c r="IX1161" s="2"/>
      <c r="IY1161" s="2"/>
      <c r="IZ1161" s="2"/>
      <c r="JA1161" s="2"/>
      <c r="JB1161" s="2"/>
      <c r="JC1161" s="2"/>
    </row>
    <row r="1162" customFormat="false" ht="15.75" hidden="false" customHeight="false" outlineLevel="0" collapsed="false">
      <c r="A1162" s="2"/>
      <c r="B1162" s="2"/>
      <c r="C1162" s="2"/>
      <c r="D1162" s="2"/>
      <c r="E1162" s="2"/>
      <c r="F1162" s="2"/>
      <c r="G1162" s="2"/>
      <c r="I1162" s="7"/>
      <c r="J1162" s="5"/>
      <c r="K1162" s="5"/>
      <c r="L1162" s="5"/>
      <c r="N1162" s="2"/>
      <c r="O1162" s="2"/>
      <c r="P1162" s="2"/>
      <c r="Q1162" s="2"/>
      <c r="R1162" s="2"/>
      <c r="S1162" s="2"/>
      <c r="T1162" s="10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IU1162" s="2"/>
      <c r="IV1162" s="2"/>
      <c r="IW1162" s="2"/>
      <c r="IX1162" s="2"/>
      <c r="IY1162" s="2"/>
      <c r="IZ1162" s="2"/>
      <c r="JA1162" s="2"/>
      <c r="JB1162" s="2"/>
      <c r="JC1162" s="2"/>
    </row>
    <row r="1163" customFormat="false" ht="15.75" hidden="false" customHeight="false" outlineLevel="0" collapsed="false">
      <c r="A1163" s="2"/>
      <c r="B1163" s="2"/>
      <c r="C1163" s="2"/>
      <c r="D1163" s="2"/>
      <c r="E1163" s="2"/>
      <c r="F1163" s="2"/>
      <c r="G1163" s="2"/>
      <c r="I1163" s="7"/>
      <c r="J1163" s="5"/>
      <c r="K1163" s="5"/>
      <c r="L1163" s="5"/>
      <c r="N1163" s="2"/>
      <c r="O1163" s="2"/>
      <c r="P1163" s="2"/>
      <c r="Q1163" s="2"/>
      <c r="R1163" s="2"/>
      <c r="S1163" s="2"/>
      <c r="T1163" s="10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IU1163" s="2"/>
      <c r="IV1163" s="2"/>
      <c r="IW1163" s="2"/>
      <c r="IX1163" s="2"/>
      <c r="IY1163" s="2"/>
      <c r="IZ1163" s="2"/>
      <c r="JA1163" s="2"/>
      <c r="JB1163" s="2"/>
      <c r="JC1163" s="2"/>
    </row>
    <row r="1164" customFormat="false" ht="15.75" hidden="false" customHeight="false" outlineLevel="0" collapsed="false">
      <c r="A1164" s="2"/>
      <c r="B1164" s="2"/>
      <c r="C1164" s="2"/>
      <c r="D1164" s="2"/>
      <c r="E1164" s="2"/>
      <c r="F1164" s="2"/>
      <c r="G1164" s="2"/>
      <c r="I1164" s="7"/>
      <c r="J1164" s="5"/>
      <c r="K1164" s="5"/>
      <c r="L1164" s="5"/>
      <c r="N1164" s="2"/>
      <c r="O1164" s="2"/>
      <c r="P1164" s="2"/>
      <c r="Q1164" s="2"/>
      <c r="R1164" s="2"/>
      <c r="S1164" s="2"/>
      <c r="T1164" s="10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IU1164" s="2"/>
      <c r="IV1164" s="2"/>
      <c r="IW1164" s="2"/>
      <c r="IX1164" s="2"/>
      <c r="IY1164" s="2"/>
      <c r="IZ1164" s="2"/>
      <c r="JA1164" s="2"/>
      <c r="JB1164" s="2"/>
      <c r="JC1164" s="2"/>
    </row>
    <row r="1165" customFormat="false" ht="15.75" hidden="false" customHeight="false" outlineLevel="0" collapsed="false">
      <c r="A1165" s="2"/>
      <c r="B1165" s="2"/>
      <c r="C1165" s="2"/>
      <c r="D1165" s="2"/>
      <c r="E1165" s="2"/>
      <c r="F1165" s="2"/>
      <c r="G1165" s="2"/>
      <c r="I1165" s="7"/>
      <c r="J1165" s="5"/>
      <c r="K1165" s="5"/>
      <c r="L1165" s="5"/>
      <c r="N1165" s="2"/>
      <c r="O1165" s="2"/>
      <c r="P1165" s="2"/>
      <c r="Q1165" s="2"/>
      <c r="R1165" s="2"/>
      <c r="S1165" s="2"/>
      <c r="T1165" s="10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IU1165" s="2"/>
      <c r="IV1165" s="2"/>
      <c r="IW1165" s="2"/>
      <c r="IX1165" s="2"/>
      <c r="IY1165" s="2"/>
      <c r="IZ1165" s="2"/>
      <c r="JA1165" s="2"/>
      <c r="JB1165" s="2"/>
      <c r="JC1165" s="2"/>
    </row>
    <row r="1166" customFormat="false" ht="15.75" hidden="false" customHeight="false" outlineLevel="0" collapsed="false">
      <c r="A1166" s="2"/>
      <c r="B1166" s="2"/>
      <c r="C1166" s="2"/>
      <c r="D1166" s="2"/>
      <c r="E1166" s="2"/>
      <c r="F1166" s="2"/>
      <c r="G1166" s="2"/>
      <c r="I1166" s="7"/>
      <c r="J1166" s="5"/>
      <c r="K1166" s="5"/>
      <c r="L1166" s="5"/>
      <c r="N1166" s="2"/>
      <c r="O1166" s="2"/>
      <c r="P1166" s="2"/>
      <c r="Q1166" s="2"/>
      <c r="R1166" s="2"/>
      <c r="S1166" s="2"/>
      <c r="T1166" s="10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IU1166" s="2"/>
      <c r="IV1166" s="2"/>
      <c r="IW1166" s="2"/>
      <c r="IX1166" s="2"/>
      <c r="IY1166" s="2"/>
      <c r="IZ1166" s="2"/>
      <c r="JA1166" s="2"/>
      <c r="JB1166" s="2"/>
      <c r="JC1166" s="2"/>
    </row>
    <row r="1167" customFormat="false" ht="15.75" hidden="false" customHeight="false" outlineLevel="0" collapsed="false">
      <c r="A1167" s="2"/>
      <c r="B1167" s="2"/>
      <c r="C1167" s="2"/>
      <c r="D1167" s="2"/>
      <c r="E1167" s="2"/>
      <c r="F1167" s="2"/>
      <c r="G1167" s="2"/>
      <c r="I1167" s="7"/>
      <c r="J1167" s="5"/>
      <c r="K1167" s="5"/>
      <c r="L1167" s="5"/>
      <c r="N1167" s="2"/>
      <c r="O1167" s="2"/>
      <c r="P1167" s="2"/>
      <c r="Q1167" s="2"/>
      <c r="R1167" s="2"/>
      <c r="S1167" s="2"/>
      <c r="T1167" s="10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IU1167" s="2"/>
      <c r="IV1167" s="2"/>
      <c r="IW1167" s="2"/>
      <c r="IX1167" s="2"/>
      <c r="IY1167" s="2"/>
      <c r="IZ1167" s="2"/>
      <c r="JA1167" s="2"/>
      <c r="JB1167" s="2"/>
      <c r="JC1167" s="2"/>
    </row>
    <row r="1168" customFormat="false" ht="15.75" hidden="false" customHeight="false" outlineLevel="0" collapsed="false">
      <c r="A1168" s="2"/>
      <c r="B1168" s="2"/>
      <c r="C1168" s="2"/>
      <c r="D1168" s="2"/>
      <c r="E1168" s="2"/>
      <c r="F1168" s="2"/>
      <c r="G1168" s="2"/>
      <c r="I1168" s="7"/>
      <c r="J1168" s="5"/>
      <c r="K1168" s="5"/>
      <c r="L1168" s="5"/>
      <c r="N1168" s="2"/>
      <c r="O1168" s="2"/>
      <c r="P1168" s="2"/>
      <c r="Q1168" s="2"/>
      <c r="R1168" s="2"/>
      <c r="S1168" s="2"/>
      <c r="T1168" s="10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IU1168" s="2"/>
      <c r="IV1168" s="2"/>
      <c r="IW1168" s="2"/>
      <c r="IX1168" s="2"/>
      <c r="IY1168" s="2"/>
      <c r="IZ1168" s="2"/>
      <c r="JA1168" s="2"/>
      <c r="JB1168" s="2"/>
      <c r="JC1168" s="2"/>
    </row>
    <row r="1169" customFormat="false" ht="15.75" hidden="false" customHeight="false" outlineLevel="0" collapsed="false">
      <c r="A1169" s="2"/>
      <c r="B1169" s="2"/>
      <c r="C1169" s="2"/>
      <c r="D1169" s="2"/>
      <c r="E1169" s="2"/>
      <c r="F1169" s="2"/>
      <c r="G1169" s="2"/>
      <c r="I1169" s="7"/>
      <c r="J1169" s="5"/>
      <c r="K1169" s="5"/>
      <c r="L1169" s="5"/>
      <c r="N1169" s="2"/>
      <c r="O1169" s="2"/>
      <c r="P1169" s="2"/>
      <c r="Q1169" s="2"/>
      <c r="R1169" s="2"/>
      <c r="S1169" s="2"/>
      <c r="T1169" s="10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IU1169" s="2"/>
      <c r="IV1169" s="2"/>
      <c r="IW1169" s="2"/>
      <c r="IX1169" s="2"/>
      <c r="IY1169" s="2"/>
      <c r="IZ1169" s="2"/>
      <c r="JA1169" s="2"/>
      <c r="JB1169" s="2"/>
      <c r="JC1169" s="2"/>
    </row>
    <row r="1170" customFormat="false" ht="15.75" hidden="false" customHeight="false" outlineLevel="0" collapsed="false">
      <c r="A1170" s="2"/>
      <c r="B1170" s="2"/>
      <c r="C1170" s="2"/>
      <c r="D1170" s="2"/>
      <c r="E1170" s="2"/>
      <c r="F1170" s="2"/>
      <c r="G1170" s="2"/>
      <c r="I1170" s="7"/>
      <c r="J1170" s="5"/>
      <c r="K1170" s="5"/>
      <c r="L1170" s="5"/>
      <c r="N1170" s="2"/>
      <c r="O1170" s="2"/>
      <c r="P1170" s="2"/>
      <c r="Q1170" s="2"/>
      <c r="R1170" s="2"/>
      <c r="S1170" s="2"/>
      <c r="T1170" s="10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IU1170" s="2"/>
      <c r="IV1170" s="2"/>
      <c r="IW1170" s="2"/>
      <c r="IX1170" s="2"/>
      <c r="IY1170" s="2"/>
      <c r="IZ1170" s="2"/>
      <c r="JA1170" s="2"/>
      <c r="JB1170" s="2"/>
      <c r="JC1170" s="2"/>
    </row>
    <row r="1171" customFormat="false" ht="15.75" hidden="false" customHeight="false" outlineLevel="0" collapsed="false">
      <c r="A1171" s="2"/>
      <c r="B1171" s="2"/>
      <c r="C1171" s="2"/>
      <c r="D1171" s="2"/>
      <c r="E1171" s="2"/>
      <c r="F1171" s="2"/>
      <c r="G1171" s="2"/>
      <c r="I1171" s="7"/>
      <c r="J1171" s="5"/>
      <c r="K1171" s="5"/>
      <c r="L1171" s="5"/>
      <c r="N1171" s="2"/>
      <c r="O1171" s="2"/>
      <c r="P1171" s="2"/>
      <c r="Q1171" s="2"/>
      <c r="R1171" s="2"/>
      <c r="S1171" s="2"/>
      <c r="T1171" s="10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IU1171" s="2"/>
      <c r="IV1171" s="2"/>
      <c r="IW1171" s="2"/>
      <c r="IX1171" s="2"/>
      <c r="IY1171" s="2"/>
      <c r="IZ1171" s="2"/>
      <c r="JA1171" s="2"/>
      <c r="JB1171" s="2"/>
      <c r="JC1171" s="2"/>
    </row>
    <row r="1172" customFormat="false" ht="15.75" hidden="false" customHeight="false" outlineLevel="0" collapsed="false">
      <c r="A1172" s="2"/>
      <c r="B1172" s="2"/>
      <c r="C1172" s="2"/>
      <c r="D1172" s="2"/>
      <c r="E1172" s="2"/>
      <c r="F1172" s="2"/>
      <c r="G1172" s="2"/>
      <c r="I1172" s="7"/>
      <c r="J1172" s="5"/>
      <c r="K1172" s="5"/>
      <c r="L1172" s="5"/>
      <c r="N1172" s="2"/>
      <c r="O1172" s="2"/>
      <c r="P1172" s="2"/>
      <c r="Q1172" s="2"/>
      <c r="R1172" s="2"/>
      <c r="S1172" s="2"/>
      <c r="T1172" s="10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IU1172" s="2"/>
      <c r="IV1172" s="2"/>
      <c r="IW1172" s="2"/>
      <c r="IX1172" s="2"/>
      <c r="IY1172" s="2"/>
      <c r="IZ1172" s="2"/>
      <c r="JA1172" s="2"/>
      <c r="JB1172" s="2"/>
      <c r="JC1172" s="2"/>
    </row>
    <row r="1173" customFormat="false" ht="15.75" hidden="false" customHeight="false" outlineLevel="0" collapsed="false">
      <c r="A1173" s="2"/>
      <c r="B1173" s="2"/>
      <c r="C1173" s="2"/>
      <c r="D1173" s="2"/>
      <c r="E1173" s="2"/>
      <c r="F1173" s="2"/>
      <c r="G1173" s="2"/>
      <c r="I1173" s="7"/>
      <c r="J1173" s="5"/>
      <c r="K1173" s="5"/>
      <c r="L1173" s="5"/>
      <c r="N1173" s="2"/>
      <c r="O1173" s="2"/>
      <c r="P1173" s="2"/>
      <c r="Q1173" s="2"/>
      <c r="R1173" s="2"/>
      <c r="S1173" s="2"/>
      <c r="T1173" s="10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IU1173" s="2"/>
      <c r="IV1173" s="2"/>
      <c r="IW1173" s="2"/>
      <c r="IX1173" s="2"/>
      <c r="IY1173" s="2"/>
      <c r="IZ1173" s="2"/>
      <c r="JA1173" s="2"/>
      <c r="JB1173" s="2"/>
      <c r="JC1173" s="2"/>
    </row>
    <row r="1174" customFormat="false" ht="15.75" hidden="false" customHeight="false" outlineLevel="0" collapsed="false">
      <c r="A1174" s="2"/>
      <c r="B1174" s="2"/>
      <c r="C1174" s="2"/>
      <c r="D1174" s="2"/>
      <c r="E1174" s="2"/>
      <c r="F1174" s="2"/>
      <c r="G1174" s="2"/>
      <c r="I1174" s="7"/>
      <c r="J1174" s="5"/>
      <c r="K1174" s="5"/>
      <c r="L1174" s="5"/>
      <c r="N1174" s="2"/>
      <c r="O1174" s="2"/>
      <c r="P1174" s="2"/>
      <c r="Q1174" s="2"/>
      <c r="R1174" s="2"/>
      <c r="S1174" s="2"/>
      <c r="T1174" s="10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IU1174" s="2"/>
      <c r="IV1174" s="2"/>
      <c r="IW1174" s="2"/>
      <c r="IX1174" s="2"/>
      <c r="IY1174" s="2"/>
      <c r="IZ1174" s="2"/>
      <c r="JA1174" s="2"/>
      <c r="JB1174" s="2"/>
      <c r="JC1174" s="2"/>
    </row>
    <row r="1175" customFormat="false" ht="15.75" hidden="false" customHeight="false" outlineLevel="0" collapsed="false">
      <c r="A1175" s="2"/>
      <c r="B1175" s="2"/>
      <c r="C1175" s="2"/>
      <c r="D1175" s="2"/>
      <c r="E1175" s="2"/>
      <c r="F1175" s="2"/>
      <c r="G1175" s="2"/>
      <c r="I1175" s="7"/>
      <c r="J1175" s="5"/>
      <c r="K1175" s="5"/>
      <c r="L1175" s="5"/>
      <c r="N1175" s="2"/>
      <c r="O1175" s="2"/>
      <c r="P1175" s="2"/>
      <c r="Q1175" s="2"/>
      <c r="R1175" s="2"/>
      <c r="S1175" s="2"/>
      <c r="T1175" s="10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IU1175" s="2"/>
      <c r="IV1175" s="2"/>
      <c r="IW1175" s="2"/>
      <c r="IX1175" s="2"/>
      <c r="IY1175" s="2"/>
      <c r="IZ1175" s="2"/>
      <c r="JA1175" s="2"/>
      <c r="JB1175" s="2"/>
      <c r="JC1175" s="2"/>
    </row>
    <row r="1176" customFormat="false" ht="15.75" hidden="false" customHeight="false" outlineLevel="0" collapsed="false">
      <c r="A1176" s="2"/>
      <c r="B1176" s="2"/>
      <c r="C1176" s="2"/>
      <c r="D1176" s="2"/>
      <c r="E1176" s="2"/>
      <c r="F1176" s="2"/>
      <c r="G1176" s="2"/>
      <c r="I1176" s="7"/>
      <c r="J1176" s="5"/>
      <c r="K1176" s="5"/>
      <c r="L1176" s="5"/>
      <c r="N1176" s="2"/>
      <c r="O1176" s="2"/>
      <c r="P1176" s="2"/>
      <c r="Q1176" s="2"/>
      <c r="R1176" s="2"/>
      <c r="S1176" s="2"/>
      <c r="T1176" s="10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IU1176" s="2"/>
      <c r="IV1176" s="2"/>
      <c r="IW1176" s="2"/>
      <c r="IX1176" s="2"/>
      <c r="IY1176" s="2"/>
      <c r="IZ1176" s="2"/>
      <c r="JA1176" s="2"/>
      <c r="JB1176" s="2"/>
      <c r="JC1176" s="2"/>
    </row>
    <row r="1177" customFormat="false" ht="15.75" hidden="false" customHeight="false" outlineLevel="0" collapsed="false">
      <c r="A1177" s="2"/>
      <c r="B1177" s="2"/>
      <c r="C1177" s="2"/>
      <c r="D1177" s="2"/>
      <c r="E1177" s="2"/>
      <c r="F1177" s="2"/>
      <c r="G1177" s="2"/>
      <c r="I1177" s="7"/>
      <c r="J1177" s="5"/>
      <c r="K1177" s="5"/>
      <c r="L1177" s="5"/>
      <c r="N1177" s="2"/>
      <c r="O1177" s="2"/>
      <c r="P1177" s="2"/>
      <c r="Q1177" s="2"/>
      <c r="R1177" s="2"/>
      <c r="S1177" s="2"/>
      <c r="T1177" s="10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IU1177" s="2"/>
      <c r="IV1177" s="2"/>
      <c r="IW1177" s="2"/>
      <c r="IX1177" s="2"/>
      <c r="IY1177" s="2"/>
      <c r="IZ1177" s="2"/>
      <c r="JA1177" s="2"/>
      <c r="JB1177" s="2"/>
      <c r="JC1177" s="2"/>
    </row>
    <row r="1178" customFormat="false" ht="15.75" hidden="false" customHeight="false" outlineLevel="0" collapsed="false">
      <c r="A1178" s="2"/>
      <c r="B1178" s="2"/>
      <c r="C1178" s="2"/>
      <c r="D1178" s="2"/>
      <c r="E1178" s="2"/>
      <c r="F1178" s="2"/>
      <c r="G1178" s="2"/>
      <c r="I1178" s="7"/>
      <c r="J1178" s="5"/>
      <c r="K1178" s="5"/>
      <c r="L1178" s="5"/>
      <c r="N1178" s="2"/>
      <c r="O1178" s="2"/>
      <c r="P1178" s="2"/>
      <c r="Q1178" s="2"/>
      <c r="R1178" s="2"/>
      <c r="S1178" s="2"/>
      <c r="T1178" s="10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IU1178" s="2"/>
      <c r="IV1178" s="2"/>
      <c r="IW1178" s="2"/>
      <c r="IX1178" s="2"/>
      <c r="IY1178" s="2"/>
      <c r="IZ1178" s="2"/>
      <c r="JA1178" s="2"/>
      <c r="JB1178" s="2"/>
      <c r="JC1178" s="2"/>
    </row>
    <row r="1179" customFormat="false" ht="15.75" hidden="false" customHeight="false" outlineLevel="0" collapsed="false">
      <c r="A1179" s="2"/>
      <c r="B1179" s="2"/>
      <c r="C1179" s="2"/>
      <c r="D1179" s="2"/>
      <c r="E1179" s="2"/>
      <c r="F1179" s="2"/>
      <c r="G1179" s="2"/>
      <c r="I1179" s="7"/>
      <c r="J1179" s="5"/>
      <c r="K1179" s="5"/>
      <c r="L1179" s="5"/>
      <c r="N1179" s="2"/>
      <c r="O1179" s="2"/>
      <c r="P1179" s="2"/>
      <c r="Q1179" s="2"/>
      <c r="R1179" s="2"/>
      <c r="S1179" s="2"/>
      <c r="T1179" s="10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IU1179" s="2"/>
      <c r="IV1179" s="2"/>
      <c r="IW1179" s="2"/>
      <c r="IX1179" s="2"/>
      <c r="IY1179" s="2"/>
      <c r="IZ1179" s="2"/>
      <c r="JA1179" s="2"/>
      <c r="JB1179" s="2"/>
      <c r="JC1179" s="2"/>
    </row>
    <row r="1180" customFormat="false" ht="15.75" hidden="false" customHeight="false" outlineLevel="0" collapsed="false">
      <c r="A1180" s="2"/>
      <c r="B1180" s="2"/>
      <c r="C1180" s="2"/>
      <c r="D1180" s="2"/>
      <c r="E1180" s="2"/>
      <c r="F1180" s="2"/>
      <c r="G1180" s="2"/>
      <c r="I1180" s="7"/>
      <c r="J1180" s="5"/>
      <c r="K1180" s="5"/>
      <c r="L1180" s="5"/>
      <c r="N1180" s="2"/>
      <c r="O1180" s="2"/>
      <c r="P1180" s="2"/>
      <c r="Q1180" s="2"/>
      <c r="R1180" s="2"/>
      <c r="S1180" s="2"/>
      <c r="T1180" s="10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IU1180" s="2"/>
      <c r="IV1180" s="2"/>
      <c r="IW1180" s="2"/>
      <c r="IX1180" s="2"/>
      <c r="IY1180" s="2"/>
      <c r="IZ1180" s="2"/>
      <c r="JA1180" s="2"/>
      <c r="JB1180" s="2"/>
      <c r="JC1180" s="2"/>
    </row>
    <row r="1181" customFormat="false" ht="15.75" hidden="false" customHeight="false" outlineLevel="0" collapsed="false">
      <c r="A1181" s="2"/>
      <c r="B1181" s="2"/>
      <c r="C1181" s="2"/>
      <c r="D1181" s="2"/>
      <c r="E1181" s="2"/>
      <c r="F1181" s="2"/>
      <c r="G1181" s="2"/>
      <c r="I1181" s="7"/>
      <c r="J1181" s="5"/>
      <c r="K1181" s="5"/>
      <c r="L1181" s="5"/>
      <c r="N1181" s="2"/>
      <c r="O1181" s="2"/>
      <c r="P1181" s="2"/>
      <c r="Q1181" s="2"/>
      <c r="R1181" s="2"/>
      <c r="S1181" s="2"/>
      <c r="T1181" s="10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IU1181" s="2"/>
      <c r="IV1181" s="2"/>
      <c r="IW1181" s="2"/>
      <c r="IX1181" s="2"/>
      <c r="IY1181" s="2"/>
      <c r="IZ1181" s="2"/>
      <c r="JA1181" s="2"/>
      <c r="JB1181" s="2"/>
      <c r="JC1181" s="2"/>
    </row>
    <row r="1182" customFormat="false" ht="15.75" hidden="false" customHeight="false" outlineLevel="0" collapsed="false">
      <c r="A1182" s="2"/>
      <c r="B1182" s="2"/>
      <c r="C1182" s="2"/>
      <c r="D1182" s="2"/>
      <c r="E1182" s="2"/>
      <c r="F1182" s="2"/>
      <c r="G1182" s="2"/>
      <c r="I1182" s="7"/>
      <c r="J1182" s="5"/>
      <c r="K1182" s="5"/>
      <c r="L1182" s="5"/>
      <c r="N1182" s="2"/>
      <c r="O1182" s="2"/>
      <c r="P1182" s="2"/>
      <c r="Q1182" s="2"/>
      <c r="R1182" s="2"/>
      <c r="S1182" s="2"/>
      <c r="T1182" s="10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IU1182" s="2"/>
      <c r="IV1182" s="2"/>
      <c r="IW1182" s="2"/>
      <c r="IX1182" s="2"/>
      <c r="IY1182" s="2"/>
      <c r="IZ1182" s="2"/>
      <c r="JA1182" s="2"/>
      <c r="JB1182" s="2"/>
      <c r="JC1182" s="2"/>
    </row>
    <row r="1183" customFormat="false" ht="15.75" hidden="false" customHeight="false" outlineLevel="0" collapsed="false">
      <c r="A1183" s="2"/>
      <c r="B1183" s="2"/>
      <c r="C1183" s="2"/>
      <c r="D1183" s="2"/>
      <c r="E1183" s="2"/>
      <c r="F1183" s="2"/>
      <c r="G1183" s="2"/>
      <c r="I1183" s="7"/>
      <c r="J1183" s="5"/>
      <c r="K1183" s="5"/>
      <c r="L1183" s="5"/>
      <c r="N1183" s="2"/>
      <c r="O1183" s="2"/>
      <c r="P1183" s="2"/>
      <c r="Q1183" s="2"/>
      <c r="R1183" s="2"/>
      <c r="S1183" s="2"/>
      <c r="T1183" s="10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IU1183" s="2"/>
      <c r="IV1183" s="2"/>
      <c r="IW1183" s="2"/>
      <c r="IX1183" s="2"/>
      <c r="IY1183" s="2"/>
      <c r="IZ1183" s="2"/>
      <c r="JA1183" s="2"/>
      <c r="JB1183" s="2"/>
      <c r="JC1183" s="2"/>
    </row>
    <row r="1184" customFormat="false" ht="15.75" hidden="false" customHeight="false" outlineLevel="0" collapsed="false">
      <c r="A1184" s="2"/>
      <c r="B1184" s="2"/>
      <c r="C1184" s="2"/>
      <c r="D1184" s="2"/>
      <c r="E1184" s="2"/>
      <c r="F1184" s="2"/>
      <c r="G1184" s="2"/>
      <c r="I1184" s="7"/>
      <c r="J1184" s="5"/>
      <c r="K1184" s="5"/>
      <c r="L1184" s="5"/>
      <c r="N1184" s="2"/>
      <c r="O1184" s="2"/>
      <c r="P1184" s="2"/>
      <c r="Q1184" s="2"/>
      <c r="R1184" s="2"/>
      <c r="S1184" s="2"/>
      <c r="T1184" s="10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IU1184" s="2"/>
      <c r="IV1184" s="2"/>
      <c r="IW1184" s="2"/>
      <c r="IX1184" s="2"/>
      <c r="IY1184" s="2"/>
      <c r="IZ1184" s="2"/>
      <c r="JA1184" s="2"/>
      <c r="JB1184" s="2"/>
      <c r="JC1184" s="2"/>
    </row>
    <row r="1185" customFormat="false" ht="15.75" hidden="false" customHeight="false" outlineLevel="0" collapsed="false">
      <c r="A1185" s="2"/>
      <c r="B1185" s="2"/>
      <c r="C1185" s="2"/>
      <c r="D1185" s="2"/>
      <c r="E1185" s="2"/>
      <c r="F1185" s="2"/>
      <c r="G1185" s="2"/>
      <c r="I1185" s="7"/>
      <c r="J1185" s="5"/>
      <c r="K1185" s="5"/>
      <c r="L1185" s="5"/>
      <c r="N1185" s="2"/>
      <c r="O1185" s="2"/>
      <c r="P1185" s="2"/>
      <c r="Q1185" s="2"/>
      <c r="R1185" s="2"/>
      <c r="S1185" s="2"/>
      <c r="T1185" s="10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IU1185" s="2"/>
      <c r="IV1185" s="2"/>
      <c r="IW1185" s="2"/>
      <c r="IX1185" s="2"/>
      <c r="IY1185" s="2"/>
      <c r="IZ1185" s="2"/>
      <c r="JA1185" s="2"/>
      <c r="JB1185" s="2"/>
      <c r="JC1185" s="2"/>
    </row>
    <row r="1186" customFormat="false" ht="15.75" hidden="false" customHeight="false" outlineLevel="0" collapsed="false">
      <c r="A1186" s="2"/>
      <c r="B1186" s="2"/>
      <c r="C1186" s="2"/>
      <c r="D1186" s="2"/>
      <c r="E1186" s="2"/>
      <c r="F1186" s="2"/>
      <c r="G1186" s="2"/>
      <c r="I1186" s="7"/>
      <c r="J1186" s="5"/>
      <c r="K1186" s="5"/>
      <c r="L1186" s="5"/>
      <c r="N1186" s="2"/>
      <c r="O1186" s="2"/>
      <c r="P1186" s="2"/>
      <c r="Q1186" s="2"/>
      <c r="R1186" s="2"/>
      <c r="S1186" s="2"/>
      <c r="T1186" s="10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IU1186" s="2"/>
      <c r="IV1186" s="2"/>
      <c r="IW1186" s="2"/>
      <c r="IX1186" s="2"/>
      <c r="IY1186" s="2"/>
      <c r="IZ1186" s="2"/>
      <c r="JA1186" s="2"/>
      <c r="JB1186" s="2"/>
      <c r="JC1186" s="2"/>
    </row>
    <row r="1187" customFormat="false" ht="15.75" hidden="false" customHeight="false" outlineLevel="0" collapsed="false">
      <c r="A1187" s="2"/>
      <c r="B1187" s="2"/>
      <c r="C1187" s="2"/>
      <c r="D1187" s="2"/>
      <c r="E1187" s="2"/>
      <c r="F1187" s="2"/>
      <c r="G1187" s="2"/>
      <c r="I1187" s="7"/>
      <c r="J1187" s="5"/>
      <c r="K1187" s="5"/>
      <c r="L1187" s="5"/>
      <c r="N1187" s="2"/>
      <c r="O1187" s="2"/>
      <c r="P1187" s="2"/>
      <c r="Q1187" s="2"/>
      <c r="R1187" s="2"/>
      <c r="S1187" s="2"/>
      <c r="T1187" s="10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IU1187" s="2"/>
      <c r="IV1187" s="2"/>
      <c r="IW1187" s="2"/>
      <c r="IX1187" s="2"/>
      <c r="IY1187" s="2"/>
      <c r="IZ1187" s="2"/>
      <c r="JA1187" s="2"/>
      <c r="JB1187" s="2"/>
      <c r="JC1187" s="2"/>
    </row>
    <row r="1188" customFormat="false" ht="15.75" hidden="false" customHeight="false" outlineLevel="0" collapsed="false">
      <c r="A1188" s="2"/>
      <c r="B1188" s="2"/>
      <c r="C1188" s="2"/>
      <c r="D1188" s="2"/>
      <c r="E1188" s="2"/>
      <c r="F1188" s="2"/>
      <c r="G1188" s="2"/>
      <c r="I1188" s="7"/>
      <c r="J1188" s="5"/>
      <c r="K1188" s="5"/>
      <c r="L1188" s="5"/>
      <c r="N1188" s="2"/>
      <c r="O1188" s="2"/>
      <c r="P1188" s="2"/>
      <c r="Q1188" s="2"/>
      <c r="R1188" s="2"/>
      <c r="S1188" s="2"/>
      <c r="T1188" s="10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IU1188" s="2"/>
      <c r="IV1188" s="2"/>
      <c r="IW1188" s="2"/>
      <c r="IX1188" s="2"/>
      <c r="IY1188" s="2"/>
      <c r="IZ1188" s="2"/>
      <c r="JA1188" s="2"/>
      <c r="JB1188" s="2"/>
      <c r="JC1188" s="2"/>
    </row>
    <row r="1189" customFormat="false" ht="15.75" hidden="false" customHeight="false" outlineLevel="0" collapsed="false">
      <c r="A1189" s="2"/>
      <c r="B1189" s="2"/>
      <c r="C1189" s="2"/>
      <c r="D1189" s="2"/>
      <c r="E1189" s="2"/>
      <c r="F1189" s="2"/>
      <c r="G1189" s="2"/>
      <c r="I1189" s="7"/>
      <c r="J1189" s="5"/>
      <c r="K1189" s="5"/>
      <c r="L1189" s="5"/>
      <c r="N1189" s="2"/>
      <c r="O1189" s="2"/>
      <c r="P1189" s="2"/>
      <c r="Q1189" s="2"/>
      <c r="R1189" s="2"/>
      <c r="S1189" s="2"/>
      <c r="T1189" s="10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IU1189" s="2"/>
      <c r="IV1189" s="2"/>
      <c r="IW1189" s="2"/>
      <c r="IX1189" s="2"/>
      <c r="IY1189" s="2"/>
      <c r="IZ1189" s="2"/>
      <c r="JA1189" s="2"/>
      <c r="JB1189" s="2"/>
      <c r="JC1189" s="2"/>
    </row>
    <row r="1190" customFormat="false" ht="15.75" hidden="false" customHeight="false" outlineLevel="0" collapsed="false">
      <c r="A1190" s="2"/>
      <c r="B1190" s="2"/>
      <c r="C1190" s="2"/>
      <c r="D1190" s="2"/>
      <c r="E1190" s="2"/>
      <c r="F1190" s="2"/>
      <c r="G1190" s="2"/>
      <c r="I1190" s="7"/>
      <c r="J1190" s="5"/>
      <c r="K1190" s="5"/>
      <c r="L1190" s="5"/>
      <c r="N1190" s="2"/>
      <c r="O1190" s="2"/>
      <c r="P1190" s="2"/>
      <c r="Q1190" s="2"/>
      <c r="R1190" s="2"/>
      <c r="S1190" s="2"/>
      <c r="T1190" s="10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IU1190" s="2"/>
      <c r="IV1190" s="2"/>
      <c r="IW1190" s="2"/>
      <c r="IX1190" s="2"/>
      <c r="IY1190" s="2"/>
      <c r="IZ1190" s="2"/>
      <c r="JA1190" s="2"/>
      <c r="JB1190" s="2"/>
      <c r="JC1190" s="2"/>
    </row>
    <row r="1191" customFormat="false" ht="15.75" hidden="false" customHeight="false" outlineLevel="0" collapsed="false">
      <c r="A1191" s="2"/>
      <c r="B1191" s="2"/>
      <c r="C1191" s="2"/>
      <c r="D1191" s="2"/>
      <c r="E1191" s="2"/>
      <c r="F1191" s="2"/>
      <c r="G1191" s="2"/>
      <c r="I1191" s="7"/>
      <c r="J1191" s="5"/>
      <c r="K1191" s="5"/>
      <c r="L1191" s="5"/>
      <c r="N1191" s="2"/>
      <c r="O1191" s="2"/>
      <c r="P1191" s="2"/>
      <c r="Q1191" s="2"/>
      <c r="R1191" s="2"/>
      <c r="S1191" s="2"/>
      <c r="T1191" s="10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customFormat="false" ht="15.75" hidden="false" customHeight="false" outlineLevel="0" collapsed="false">
      <c r="A1192" s="2"/>
      <c r="B1192" s="2"/>
      <c r="C1192" s="2"/>
      <c r="D1192" s="2"/>
      <c r="E1192" s="2"/>
      <c r="F1192" s="2"/>
      <c r="G1192" s="2"/>
      <c r="I1192" s="7"/>
      <c r="J1192" s="5"/>
      <c r="K1192" s="5"/>
      <c r="L1192" s="5"/>
      <c r="N1192" s="2"/>
      <c r="O1192" s="2"/>
      <c r="P1192" s="2"/>
      <c r="Q1192" s="2"/>
      <c r="R1192" s="2"/>
      <c r="S1192" s="2"/>
      <c r="T1192" s="10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IU1192" s="2"/>
      <c r="IV1192" s="2"/>
      <c r="IW1192" s="2"/>
      <c r="IX1192" s="2"/>
      <c r="IY1192" s="2"/>
      <c r="IZ1192" s="2"/>
      <c r="JA1192" s="2"/>
      <c r="JB1192" s="2"/>
      <c r="JC1192" s="2"/>
    </row>
    <row r="1193" customFormat="false" ht="15.75" hidden="false" customHeight="false" outlineLevel="0" collapsed="false">
      <c r="A1193" s="2"/>
      <c r="B1193" s="2"/>
      <c r="C1193" s="2"/>
      <c r="D1193" s="2"/>
      <c r="E1193" s="2"/>
      <c r="F1193" s="2"/>
      <c r="G1193" s="2"/>
      <c r="I1193" s="7"/>
      <c r="J1193" s="5"/>
      <c r="K1193" s="5"/>
      <c r="L1193" s="5"/>
      <c r="N1193" s="2"/>
      <c r="O1193" s="2"/>
      <c r="P1193" s="2"/>
      <c r="Q1193" s="2"/>
      <c r="R1193" s="2"/>
      <c r="S1193" s="2"/>
      <c r="T1193" s="10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IU1193" s="2"/>
      <c r="IV1193" s="2"/>
      <c r="IW1193" s="2"/>
      <c r="IX1193" s="2"/>
      <c r="IY1193" s="2"/>
      <c r="IZ1193" s="2"/>
      <c r="JA1193" s="2"/>
      <c r="JB1193" s="2"/>
      <c r="JC1193" s="2"/>
    </row>
    <row r="1194" customFormat="false" ht="15.75" hidden="false" customHeight="false" outlineLevel="0" collapsed="false">
      <c r="A1194" s="2"/>
      <c r="B1194" s="2"/>
      <c r="C1194" s="2"/>
      <c r="D1194" s="2"/>
      <c r="E1194" s="2"/>
      <c r="F1194" s="2"/>
      <c r="G1194" s="2"/>
      <c r="I1194" s="7"/>
      <c r="J1194" s="5"/>
      <c r="K1194" s="5"/>
      <c r="L1194" s="5"/>
      <c r="N1194" s="2"/>
      <c r="O1194" s="2"/>
      <c r="P1194" s="2"/>
      <c r="Q1194" s="2"/>
      <c r="R1194" s="2"/>
      <c r="S1194" s="2"/>
      <c r="T1194" s="10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IU1194" s="2"/>
      <c r="IV1194" s="2"/>
      <c r="IW1194" s="2"/>
      <c r="IX1194" s="2"/>
      <c r="IY1194" s="2"/>
      <c r="IZ1194" s="2"/>
      <c r="JA1194" s="2"/>
      <c r="JB1194" s="2"/>
      <c r="JC1194" s="2"/>
    </row>
    <row r="1195" customFormat="false" ht="15.75" hidden="false" customHeight="false" outlineLevel="0" collapsed="false">
      <c r="A1195" s="2"/>
      <c r="B1195" s="2"/>
      <c r="C1195" s="2"/>
      <c r="D1195" s="2"/>
      <c r="E1195" s="2"/>
      <c r="F1195" s="2"/>
      <c r="G1195" s="2"/>
      <c r="I1195" s="7"/>
      <c r="J1195" s="5"/>
      <c r="K1195" s="5"/>
      <c r="L1195" s="5"/>
      <c r="N1195" s="2"/>
      <c r="O1195" s="2"/>
      <c r="P1195" s="2"/>
      <c r="Q1195" s="2"/>
      <c r="R1195" s="2"/>
      <c r="S1195" s="2"/>
      <c r="T1195" s="10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IU1195" s="2"/>
      <c r="IV1195" s="2"/>
      <c r="IW1195" s="2"/>
      <c r="IX1195" s="2"/>
      <c r="IY1195" s="2"/>
      <c r="IZ1195" s="2"/>
      <c r="JA1195" s="2"/>
      <c r="JB1195" s="2"/>
      <c r="JC1195" s="2"/>
    </row>
    <row r="1196" customFormat="false" ht="15.75" hidden="false" customHeight="false" outlineLevel="0" collapsed="false">
      <c r="A1196" s="2"/>
      <c r="B1196" s="2"/>
      <c r="C1196" s="2"/>
      <c r="D1196" s="2"/>
      <c r="E1196" s="2"/>
      <c r="F1196" s="2"/>
      <c r="G1196" s="2"/>
      <c r="I1196" s="7"/>
      <c r="J1196" s="5"/>
      <c r="K1196" s="5"/>
      <c r="L1196" s="5"/>
      <c r="N1196" s="2"/>
      <c r="O1196" s="2"/>
      <c r="P1196" s="2"/>
      <c r="Q1196" s="2"/>
      <c r="R1196" s="2"/>
      <c r="S1196" s="2"/>
      <c r="T1196" s="10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IU1196" s="2"/>
      <c r="IV1196" s="2"/>
      <c r="IW1196" s="2"/>
      <c r="IX1196" s="2"/>
      <c r="IY1196" s="2"/>
      <c r="IZ1196" s="2"/>
      <c r="JA1196" s="2"/>
      <c r="JB1196" s="2"/>
      <c r="JC1196" s="2"/>
    </row>
    <row r="1197" customFormat="false" ht="15.75" hidden="false" customHeight="false" outlineLevel="0" collapsed="false">
      <c r="A1197" s="2"/>
      <c r="B1197" s="2"/>
      <c r="C1197" s="2"/>
      <c r="D1197" s="2"/>
      <c r="E1197" s="2"/>
      <c r="F1197" s="2"/>
      <c r="G1197" s="2"/>
      <c r="I1197" s="7"/>
      <c r="J1197" s="5"/>
      <c r="K1197" s="5"/>
      <c r="L1197" s="5"/>
      <c r="N1197" s="2"/>
      <c r="O1197" s="2"/>
      <c r="P1197" s="2"/>
      <c r="Q1197" s="2"/>
      <c r="R1197" s="2"/>
      <c r="S1197" s="2"/>
      <c r="T1197" s="10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IU1197" s="2"/>
      <c r="IV1197" s="2"/>
      <c r="IW1197" s="2"/>
      <c r="IX1197" s="2"/>
      <c r="IY1197" s="2"/>
      <c r="IZ1197" s="2"/>
      <c r="JA1197" s="2"/>
      <c r="JB1197" s="2"/>
      <c r="JC1197" s="2"/>
    </row>
    <row r="1198" customFormat="false" ht="15.75" hidden="false" customHeight="false" outlineLevel="0" collapsed="false">
      <c r="A1198" s="2"/>
      <c r="B1198" s="2"/>
      <c r="C1198" s="2"/>
      <c r="D1198" s="2"/>
      <c r="E1198" s="2"/>
      <c r="F1198" s="2"/>
      <c r="G1198" s="2"/>
      <c r="I1198" s="7"/>
      <c r="J1198" s="5"/>
      <c r="K1198" s="5"/>
      <c r="L1198" s="5"/>
      <c r="N1198" s="2"/>
      <c r="O1198" s="2"/>
      <c r="P1198" s="2"/>
      <c r="Q1198" s="2"/>
      <c r="R1198" s="2"/>
      <c r="S1198" s="2"/>
      <c r="T1198" s="10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IU1198" s="2"/>
      <c r="IV1198" s="2"/>
      <c r="IW1198" s="2"/>
      <c r="IX1198" s="2"/>
      <c r="IY1198" s="2"/>
      <c r="IZ1198" s="2"/>
      <c r="JA1198" s="2"/>
      <c r="JB1198" s="2"/>
      <c r="JC1198" s="2"/>
    </row>
    <row r="1199" customFormat="false" ht="15.75" hidden="false" customHeight="false" outlineLevel="0" collapsed="false">
      <c r="A1199" s="2"/>
      <c r="B1199" s="2"/>
      <c r="C1199" s="2"/>
      <c r="D1199" s="2"/>
      <c r="E1199" s="2"/>
      <c r="F1199" s="2"/>
      <c r="G1199" s="2"/>
      <c r="I1199" s="7"/>
      <c r="J1199" s="5"/>
      <c r="K1199" s="5"/>
      <c r="L1199" s="5"/>
      <c r="N1199" s="2"/>
      <c r="O1199" s="2"/>
      <c r="P1199" s="2"/>
      <c r="Q1199" s="2"/>
      <c r="R1199" s="2"/>
      <c r="S1199" s="2"/>
      <c r="T1199" s="10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customFormat="false" ht="15.75" hidden="false" customHeight="false" outlineLevel="0" collapsed="false">
      <c r="A1200" s="2"/>
      <c r="B1200" s="2"/>
      <c r="C1200" s="2"/>
      <c r="D1200" s="2"/>
      <c r="E1200" s="2"/>
      <c r="F1200" s="2"/>
      <c r="G1200" s="2"/>
      <c r="I1200" s="7"/>
      <c r="J1200" s="5"/>
      <c r="K1200" s="5"/>
      <c r="L1200" s="5"/>
      <c r="N1200" s="2"/>
      <c r="O1200" s="2"/>
      <c r="P1200" s="2"/>
      <c r="Q1200" s="2"/>
      <c r="R1200" s="2"/>
      <c r="S1200" s="2"/>
      <c r="T1200" s="10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customFormat="false" ht="15.75" hidden="false" customHeight="false" outlineLevel="0" collapsed="false">
      <c r="A1201" s="2"/>
      <c r="B1201" s="2"/>
      <c r="C1201" s="2"/>
      <c r="D1201" s="2"/>
      <c r="E1201" s="2"/>
      <c r="F1201" s="2"/>
      <c r="G1201" s="2"/>
      <c r="I1201" s="7"/>
      <c r="J1201" s="5"/>
      <c r="K1201" s="5"/>
      <c r="L1201" s="5"/>
      <c r="N1201" s="2"/>
      <c r="O1201" s="2"/>
      <c r="P1201" s="2"/>
      <c r="Q1201" s="2"/>
      <c r="R1201" s="2"/>
      <c r="S1201" s="2"/>
      <c r="T1201" s="10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IU1201" s="2"/>
      <c r="IV1201" s="2"/>
      <c r="IW1201" s="2"/>
      <c r="IX1201" s="2"/>
      <c r="IY1201" s="2"/>
      <c r="IZ1201" s="2"/>
      <c r="JA1201" s="2"/>
      <c r="JB1201" s="2"/>
      <c r="JC1201" s="2"/>
    </row>
    <row r="1202" customFormat="false" ht="15.75" hidden="false" customHeight="false" outlineLevel="0" collapsed="false">
      <c r="A1202" s="2"/>
      <c r="B1202" s="2"/>
      <c r="C1202" s="2"/>
      <c r="D1202" s="2"/>
      <c r="E1202" s="2"/>
      <c r="F1202" s="2"/>
      <c r="G1202" s="2"/>
      <c r="I1202" s="7"/>
      <c r="J1202" s="5"/>
      <c r="K1202" s="5"/>
      <c r="L1202" s="5"/>
      <c r="N1202" s="2"/>
      <c r="O1202" s="2"/>
      <c r="P1202" s="2"/>
      <c r="Q1202" s="2"/>
      <c r="R1202" s="2"/>
      <c r="S1202" s="2"/>
      <c r="T1202" s="10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IU1202" s="2"/>
      <c r="IV1202" s="2"/>
      <c r="IW1202" s="2"/>
      <c r="IX1202" s="2"/>
      <c r="IY1202" s="2"/>
      <c r="IZ1202" s="2"/>
      <c r="JA1202" s="2"/>
      <c r="JB1202" s="2"/>
      <c r="JC1202" s="2"/>
    </row>
    <row r="1203" customFormat="false" ht="15.75" hidden="false" customHeight="false" outlineLevel="0" collapsed="false">
      <c r="A1203" s="2"/>
      <c r="B1203" s="2"/>
      <c r="C1203" s="2"/>
      <c r="D1203" s="2"/>
      <c r="E1203" s="2"/>
      <c r="F1203" s="2"/>
      <c r="G1203" s="2"/>
      <c r="I1203" s="7"/>
      <c r="J1203" s="5"/>
      <c r="K1203" s="5"/>
      <c r="L1203" s="5"/>
      <c r="N1203" s="2"/>
      <c r="O1203" s="2"/>
      <c r="P1203" s="2"/>
      <c r="Q1203" s="2"/>
      <c r="R1203" s="2"/>
      <c r="S1203" s="2"/>
      <c r="T1203" s="10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IU1203" s="2"/>
      <c r="IV1203" s="2"/>
      <c r="IW1203" s="2"/>
      <c r="IX1203" s="2"/>
      <c r="IY1203" s="2"/>
      <c r="IZ1203" s="2"/>
      <c r="JA1203" s="2"/>
      <c r="JB1203" s="2"/>
      <c r="JC1203" s="2"/>
    </row>
    <row r="1204" customFormat="false" ht="15.75" hidden="false" customHeight="false" outlineLevel="0" collapsed="false">
      <c r="A1204" s="2"/>
      <c r="B1204" s="2"/>
      <c r="C1204" s="2"/>
      <c r="D1204" s="2"/>
      <c r="E1204" s="2"/>
      <c r="F1204" s="2"/>
      <c r="G1204" s="2"/>
      <c r="I1204" s="7"/>
      <c r="J1204" s="5"/>
      <c r="K1204" s="5"/>
      <c r="L1204" s="5"/>
      <c r="N1204" s="2"/>
      <c r="O1204" s="2"/>
      <c r="P1204" s="2"/>
      <c r="Q1204" s="2"/>
      <c r="R1204" s="2"/>
      <c r="S1204" s="2"/>
      <c r="T1204" s="10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customFormat="false" ht="15.75" hidden="false" customHeight="false" outlineLevel="0" collapsed="false">
      <c r="A1205" s="2"/>
      <c r="B1205" s="2"/>
      <c r="C1205" s="2"/>
      <c r="D1205" s="2"/>
      <c r="E1205" s="2"/>
      <c r="F1205" s="2"/>
      <c r="G1205" s="2"/>
      <c r="I1205" s="7"/>
      <c r="J1205" s="5"/>
      <c r="K1205" s="5"/>
      <c r="L1205" s="5"/>
      <c r="N1205" s="2"/>
      <c r="O1205" s="2"/>
      <c r="P1205" s="2"/>
      <c r="Q1205" s="2"/>
      <c r="R1205" s="2"/>
      <c r="S1205" s="2"/>
      <c r="T1205" s="10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customFormat="false" ht="15.75" hidden="false" customHeight="false" outlineLevel="0" collapsed="false">
      <c r="A1206" s="2"/>
      <c r="B1206" s="2"/>
      <c r="C1206" s="2"/>
      <c r="D1206" s="2"/>
      <c r="E1206" s="2"/>
      <c r="F1206" s="2"/>
      <c r="G1206" s="2"/>
      <c r="I1206" s="7"/>
      <c r="J1206" s="5"/>
      <c r="K1206" s="5"/>
      <c r="L1206" s="5"/>
      <c r="N1206" s="2"/>
      <c r="O1206" s="2"/>
      <c r="P1206" s="2"/>
      <c r="Q1206" s="2"/>
      <c r="R1206" s="2"/>
      <c r="S1206" s="2"/>
      <c r="T1206" s="10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customFormat="false" ht="15.75" hidden="false" customHeight="false" outlineLevel="0" collapsed="false">
      <c r="A1207" s="2"/>
      <c r="B1207" s="2"/>
      <c r="C1207" s="2"/>
      <c r="D1207" s="2"/>
      <c r="E1207" s="2"/>
      <c r="F1207" s="2"/>
      <c r="G1207" s="2"/>
      <c r="I1207" s="7"/>
      <c r="J1207" s="5"/>
      <c r="K1207" s="5"/>
      <c r="L1207" s="5"/>
      <c r="N1207" s="2"/>
      <c r="O1207" s="2"/>
      <c r="P1207" s="2"/>
      <c r="Q1207" s="2"/>
      <c r="R1207" s="2"/>
      <c r="S1207" s="2"/>
      <c r="T1207" s="10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customFormat="false" ht="15.75" hidden="false" customHeight="false" outlineLevel="0" collapsed="false">
      <c r="A1208" s="2"/>
      <c r="B1208" s="2"/>
      <c r="C1208" s="2"/>
      <c r="D1208" s="2"/>
      <c r="E1208" s="2"/>
      <c r="F1208" s="2"/>
      <c r="G1208" s="2"/>
      <c r="I1208" s="7"/>
      <c r="J1208" s="5"/>
      <c r="K1208" s="5"/>
      <c r="L1208" s="5"/>
      <c r="N1208" s="2"/>
      <c r="O1208" s="2"/>
      <c r="P1208" s="2"/>
      <c r="Q1208" s="2"/>
      <c r="R1208" s="2"/>
      <c r="S1208" s="2"/>
      <c r="T1208" s="10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IU1208" s="2"/>
      <c r="IV1208" s="2"/>
      <c r="IW1208" s="2"/>
      <c r="IX1208" s="2"/>
      <c r="IY1208" s="2"/>
      <c r="IZ1208" s="2"/>
      <c r="JA1208" s="2"/>
      <c r="JB1208" s="2"/>
      <c r="JC1208" s="2"/>
    </row>
    <row r="1209" customFormat="false" ht="15.75" hidden="false" customHeight="false" outlineLevel="0" collapsed="false">
      <c r="A1209" s="2"/>
      <c r="B1209" s="2"/>
      <c r="C1209" s="2"/>
      <c r="D1209" s="2"/>
      <c r="E1209" s="2"/>
      <c r="F1209" s="2"/>
      <c r="G1209" s="2"/>
      <c r="I1209" s="7"/>
      <c r="J1209" s="5"/>
      <c r="K1209" s="5"/>
      <c r="L1209" s="5"/>
      <c r="N1209" s="2"/>
      <c r="O1209" s="2"/>
      <c r="P1209" s="2"/>
      <c r="Q1209" s="2"/>
      <c r="R1209" s="2"/>
      <c r="S1209" s="2"/>
      <c r="T1209" s="10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IU1209" s="2"/>
      <c r="IV1209" s="2"/>
      <c r="IW1209" s="2"/>
      <c r="IX1209" s="2"/>
      <c r="IY1209" s="2"/>
      <c r="IZ1209" s="2"/>
      <c r="JA1209" s="2"/>
      <c r="JB1209" s="2"/>
      <c r="JC1209" s="2"/>
    </row>
    <row r="1210" customFormat="false" ht="15.75" hidden="false" customHeight="false" outlineLevel="0" collapsed="false">
      <c r="A1210" s="2"/>
      <c r="B1210" s="2"/>
      <c r="C1210" s="2"/>
      <c r="D1210" s="2"/>
      <c r="E1210" s="2"/>
      <c r="F1210" s="2"/>
      <c r="G1210" s="2"/>
      <c r="I1210" s="7"/>
      <c r="J1210" s="5"/>
      <c r="K1210" s="5"/>
      <c r="L1210" s="5"/>
      <c r="N1210" s="2"/>
      <c r="O1210" s="2"/>
      <c r="P1210" s="2"/>
      <c r="Q1210" s="2"/>
      <c r="R1210" s="2"/>
      <c r="S1210" s="2"/>
      <c r="T1210" s="10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IU1210" s="2"/>
      <c r="IV1210" s="2"/>
      <c r="IW1210" s="2"/>
      <c r="IX1210" s="2"/>
      <c r="IY1210" s="2"/>
      <c r="IZ1210" s="2"/>
      <c r="JA1210" s="2"/>
      <c r="JB1210" s="2"/>
      <c r="JC1210" s="2"/>
    </row>
    <row r="1211" customFormat="false" ht="15.75" hidden="false" customHeight="false" outlineLevel="0" collapsed="false">
      <c r="A1211" s="2"/>
      <c r="B1211" s="2"/>
      <c r="C1211" s="2"/>
      <c r="D1211" s="2"/>
      <c r="E1211" s="2"/>
      <c r="F1211" s="2"/>
      <c r="G1211" s="2"/>
      <c r="I1211" s="7"/>
      <c r="J1211" s="5"/>
      <c r="K1211" s="5"/>
      <c r="L1211" s="5"/>
      <c r="N1211" s="2"/>
      <c r="O1211" s="2"/>
      <c r="P1211" s="2"/>
      <c r="Q1211" s="2"/>
      <c r="R1211" s="2"/>
      <c r="S1211" s="2"/>
      <c r="T1211" s="10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IU1211" s="2"/>
      <c r="IV1211" s="2"/>
      <c r="IW1211" s="2"/>
      <c r="IX1211" s="2"/>
      <c r="IY1211" s="2"/>
      <c r="IZ1211" s="2"/>
      <c r="JA1211" s="2"/>
      <c r="JB1211" s="2"/>
      <c r="JC1211" s="2"/>
    </row>
    <row r="1212" customFormat="false" ht="15.75" hidden="false" customHeight="false" outlineLevel="0" collapsed="false">
      <c r="A1212" s="2"/>
      <c r="B1212" s="2"/>
      <c r="C1212" s="2"/>
      <c r="D1212" s="2"/>
      <c r="E1212" s="2"/>
      <c r="F1212" s="2"/>
      <c r="G1212" s="2"/>
      <c r="I1212" s="7"/>
      <c r="J1212" s="5"/>
      <c r="K1212" s="5"/>
      <c r="L1212" s="5"/>
      <c r="N1212" s="2"/>
      <c r="O1212" s="2"/>
      <c r="P1212" s="2"/>
      <c r="Q1212" s="2"/>
      <c r="R1212" s="2"/>
      <c r="S1212" s="2"/>
      <c r="T1212" s="10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IU1212" s="2"/>
      <c r="IV1212" s="2"/>
      <c r="IW1212" s="2"/>
      <c r="IX1212" s="2"/>
      <c r="IY1212" s="2"/>
      <c r="IZ1212" s="2"/>
      <c r="JA1212" s="2"/>
      <c r="JB1212" s="2"/>
      <c r="JC1212" s="2"/>
    </row>
    <row r="1213" customFormat="false" ht="15.75" hidden="false" customHeight="false" outlineLevel="0" collapsed="false">
      <c r="A1213" s="2"/>
      <c r="B1213" s="2"/>
      <c r="C1213" s="2"/>
      <c r="D1213" s="2"/>
      <c r="E1213" s="2"/>
      <c r="F1213" s="2"/>
      <c r="G1213" s="2"/>
      <c r="I1213" s="7"/>
      <c r="J1213" s="5"/>
      <c r="K1213" s="5"/>
      <c r="L1213" s="5"/>
      <c r="N1213" s="2"/>
      <c r="O1213" s="2"/>
      <c r="P1213" s="2"/>
      <c r="Q1213" s="2"/>
      <c r="R1213" s="2"/>
      <c r="S1213" s="2"/>
      <c r="T1213" s="10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IU1213" s="2"/>
      <c r="IV1213" s="2"/>
      <c r="IW1213" s="2"/>
      <c r="IX1213" s="2"/>
      <c r="IY1213" s="2"/>
      <c r="IZ1213" s="2"/>
      <c r="JA1213" s="2"/>
      <c r="JB1213" s="2"/>
      <c r="JC1213" s="2"/>
    </row>
    <row r="1214" customFormat="false" ht="15.7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0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.7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0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.7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0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.7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0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.7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0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.7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0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.7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0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.7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0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.7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0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.7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0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.7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0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.7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0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.7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0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.7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0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.7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0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.7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0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.7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0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.7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0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.7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0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.7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0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.7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0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.7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0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.7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0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.7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0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.7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0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.7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0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.7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0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.7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0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.7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0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.7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0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.7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0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.7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0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.7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0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.7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0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.7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0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.7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0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.7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0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.7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0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.7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0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.7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0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.7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0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.7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0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.7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0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.7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0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.7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0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.7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0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.7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0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.7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0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.7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0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.7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0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.7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0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.7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0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.7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0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.7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0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.7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0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.7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0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.7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0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.7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0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.7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0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.7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0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.7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0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.7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0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.7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0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.7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0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.7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0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.7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0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.7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0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.7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0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.7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0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.7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0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.7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0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.7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0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.7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0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.7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0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.7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0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.7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0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.7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0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.7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0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.7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0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.7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0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.7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0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.7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0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.7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0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.7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0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.75" hidden="false" customHeight="false" outlineLevel="0" collapsed="false">
      <c r="A1298" s="2"/>
      <c r="B1298" s="2"/>
      <c r="C1298" s="2"/>
      <c r="D1298" s="2"/>
      <c r="E1298" s="2"/>
      <c r="F1298" s="2"/>
      <c r="G1298" s="2"/>
      <c r="I1298" s="7"/>
      <c r="J1298" s="5"/>
      <c r="K1298" s="5"/>
      <c r="L1298" s="5"/>
      <c r="N1298" s="2"/>
      <c r="O1298" s="2"/>
      <c r="P1298" s="2"/>
      <c r="Q1298" s="2"/>
      <c r="R1298" s="2"/>
      <c r="S1298" s="2"/>
      <c r="T1298" s="10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.75" hidden="false" customHeight="false" outlineLevel="0" collapsed="false">
      <c r="A1299" s="2"/>
      <c r="B1299" s="2"/>
      <c r="C1299" s="2"/>
      <c r="D1299" s="2"/>
      <c r="E1299" s="2"/>
      <c r="F1299" s="2"/>
      <c r="G1299" s="2"/>
      <c r="I1299" s="7"/>
      <c r="J1299" s="5"/>
      <c r="K1299" s="5"/>
      <c r="L1299" s="5"/>
      <c r="N1299" s="2"/>
      <c r="O1299" s="2"/>
      <c r="P1299" s="2"/>
      <c r="Q1299" s="2"/>
      <c r="R1299" s="2"/>
      <c r="S1299" s="2"/>
      <c r="T1299" s="10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.75" hidden="false" customHeight="false" outlineLevel="0" collapsed="false">
      <c r="A1300" s="2"/>
      <c r="B1300" s="2"/>
      <c r="C1300" s="2"/>
      <c r="D1300" s="2"/>
      <c r="E1300" s="2"/>
      <c r="F1300" s="2"/>
      <c r="G1300" s="2"/>
      <c r="I1300" s="7"/>
      <c r="J1300" s="5"/>
      <c r="K1300" s="5"/>
      <c r="L1300" s="5"/>
      <c r="N1300" s="2"/>
      <c r="O1300" s="2"/>
      <c r="P1300" s="2"/>
      <c r="Q1300" s="2"/>
      <c r="R1300" s="2"/>
      <c r="S1300" s="2"/>
      <c r="T1300" s="10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.75" hidden="false" customHeight="false" outlineLevel="0" collapsed="false">
      <c r="A1301" s="2"/>
      <c r="B1301" s="2"/>
      <c r="C1301" s="2"/>
      <c r="D1301" s="2"/>
      <c r="E1301" s="2"/>
      <c r="F1301" s="2"/>
      <c r="G1301" s="2"/>
      <c r="I1301" s="7"/>
      <c r="J1301" s="5"/>
      <c r="K1301" s="5"/>
      <c r="L1301" s="5"/>
      <c r="N1301" s="2"/>
      <c r="O1301" s="2"/>
      <c r="P1301" s="2"/>
      <c r="Q1301" s="2"/>
      <c r="R1301" s="2"/>
      <c r="S1301" s="2"/>
      <c r="T1301" s="10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.75" hidden="false" customHeight="false" outlineLevel="0" collapsed="false">
      <c r="A1302" s="2"/>
      <c r="B1302" s="2"/>
      <c r="C1302" s="2"/>
      <c r="D1302" s="2"/>
      <c r="E1302" s="2"/>
      <c r="F1302" s="2"/>
      <c r="G1302" s="2"/>
      <c r="I1302" s="7"/>
      <c r="J1302" s="5"/>
      <c r="K1302" s="5"/>
      <c r="L1302" s="5"/>
      <c r="N1302" s="2"/>
      <c r="O1302" s="2"/>
      <c r="P1302" s="2"/>
      <c r="Q1302" s="2"/>
      <c r="R1302" s="2"/>
      <c r="S1302" s="2"/>
      <c r="T1302" s="10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.75" hidden="false" customHeight="false" outlineLevel="0" collapsed="false">
      <c r="A1303" s="2"/>
      <c r="B1303" s="2"/>
      <c r="C1303" s="2"/>
      <c r="D1303" s="2"/>
      <c r="E1303" s="2"/>
      <c r="F1303" s="2"/>
      <c r="G1303" s="2"/>
      <c r="I1303" s="7"/>
      <c r="J1303" s="5"/>
      <c r="K1303" s="5"/>
      <c r="L1303" s="5"/>
      <c r="N1303" s="2"/>
      <c r="O1303" s="2"/>
      <c r="P1303" s="2"/>
      <c r="Q1303" s="2"/>
      <c r="R1303" s="2"/>
      <c r="S1303" s="2"/>
      <c r="T1303" s="10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.75" hidden="false" customHeight="false" outlineLevel="0" collapsed="false">
      <c r="A1304" s="2"/>
      <c r="B1304" s="2"/>
      <c r="C1304" s="2"/>
      <c r="D1304" s="2"/>
      <c r="E1304" s="2"/>
      <c r="F1304" s="2"/>
      <c r="G1304" s="2"/>
      <c r="I1304" s="7"/>
      <c r="J1304" s="5"/>
      <c r="K1304" s="5"/>
      <c r="L1304" s="5"/>
      <c r="N1304" s="2"/>
      <c r="O1304" s="2"/>
      <c r="P1304" s="2"/>
      <c r="Q1304" s="2"/>
      <c r="R1304" s="2"/>
      <c r="S1304" s="2"/>
      <c r="T1304" s="10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.75" hidden="false" customHeight="false" outlineLevel="0" collapsed="false">
      <c r="A1305" s="2"/>
      <c r="B1305" s="2"/>
      <c r="C1305" s="2"/>
      <c r="D1305" s="2"/>
      <c r="E1305" s="2"/>
      <c r="F1305" s="2"/>
      <c r="G1305" s="2"/>
      <c r="I1305" s="7"/>
      <c r="J1305" s="5"/>
      <c r="K1305" s="5"/>
      <c r="L1305" s="5"/>
      <c r="N1305" s="2"/>
      <c r="O1305" s="2"/>
      <c r="P1305" s="2"/>
      <c r="Q1305" s="2"/>
      <c r="R1305" s="2"/>
      <c r="S1305" s="2"/>
      <c r="T1305" s="10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.75" hidden="false" customHeight="false" outlineLevel="0" collapsed="false">
      <c r="A1306" s="2"/>
      <c r="B1306" s="2"/>
      <c r="C1306" s="2"/>
      <c r="D1306" s="2"/>
      <c r="E1306" s="2"/>
      <c r="F1306" s="2"/>
      <c r="G1306" s="2"/>
      <c r="I1306" s="7"/>
      <c r="J1306" s="5"/>
      <c r="K1306" s="5"/>
      <c r="L1306" s="5"/>
      <c r="N1306" s="2"/>
      <c r="O1306" s="2"/>
      <c r="P1306" s="2"/>
      <c r="Q1306" s="2"/>
      <c r="R1306" s="2"/>
      <c r="S1306" s="2"/>
      <c r="T1306" s="10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.75" hidden="false" customHeight="false" outlineLevel="0" collapsed="false">
      <c r="A1307" s="2"/>
      <c r="B1307" s="2"/>
      <c r="C1307" s="2"/>
      <c r="D1307" s="2"/>
      <c r="E1307" s="2"/>
      <c r="F1307" s="2"/>
      <c r="G1307" s="2"/>
      <c r="I1307" s="7"/>
      <c r="J1307" s="5"/>
      <c r="K1307" s="5"/>
      <c r="L1307" s="5"/>
      <c r="N1307" s="2"/>
      <c r="O1307" s="2"/>
      <c r="P1307" s="2"/>
      <c r="Q1307" s="2"/>
      <c r="R1307" s="2"/>
      <c r="S1307" s="2"/>
      <c r="T1307" s="10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.75" hidden="false" customHeight="false" outlineLevel="0" collapsed="false">
      <c r="A1308" s="2"/>
      <c r="B1308" s="2"/>
      <c r="C1308" s="2"/>
      <c r="D1308" s="2"/>
      <c r="E1308" s="2"/>
      <c r="F1308" s="2"/>
      <c r="G1308" s="2"/>
      <c r="I1308" s="7"/>
      <c r="J1308" s="5"/>
      <c r="K1308" s="5"/>
      <c r="L1308" s="5"/>
      <c r="N1308" s="2"/>
      <c r="O1308" s="2"/>
      <c r="P1308" s="2"/>
      <c r="Q1308" s="2"/>
      <c r="R1308" s="2"/>
      <c r="S1308" s="2"/>
      <c r="T1308" s="10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.75" hidden="false" customHeight="false" outlineLevel="0" collapsed="false">
      <c r="A1309" s="2"/>
      <c r="B1309" s="2"/>
      <c r="C1309" s="2"/>
      <c r="D1309" s="2"/>
      <c r="E1309" s="2"/>
      <c r="F1309" s="2"/>
      <c r="G1309" s="2"/>
      <c r="I1309" s="7"/>
      <c r="J1309" s="5"/>
      <c r="K1309" s="5"/>
      <c r="L1309" s="5"/>
      <c r="N1309" s="2"/>
      <c r="O1309" s="2"/>
      <c r="P1309" s="2"/>
      <c r="Q1309" s="2"/>
      <c r="R1309" s="2"/>
      <c r="S1309" s="2"/>
      <c r="T1309" s="10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.75" hidden="false" customHeight="false" outlineLevel="0" collapsed="false">
      <c r="A1310" s="2"/>
      <c r="B1310" s="2"/>
      <c r="C1310" s="2"/>
      <c r="D1310" s="2"/>
      <c r="E1310" s="2"/>
      <c r="F1310" s="2"/>
      <c r="G1310" s="2"/>
      <c r="I1310" s="7"/>
      <c r="J1310" s="5"/>
      <c r="K1310" s="5"/>
      <c r="L1310" s="5"/>
      <c r="N1310" s="2"/>
      <c r="O1310" s="2"/>
      <c r="P1310" s="2"/>
      <c r="Q1310" s="2"/>
      <c r="R1310" s="2"/>
      <c r="S1310" s="2"/>
      <c r="T1310" s="10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.75" hidden="false" customHeight="false" outlineLevel="0" collapsed="false">
      <c r="A1311" s="2"/>
      <c r="B1311" s="2"/>
      <c r="C1311" s="2"/>
      <c r="D1311" s="2"/>
      <c r="E1311" s="2"/>
      <c r="F1311" s="2"/>
      <c r="G1311" s="2"/>
      <c r="I1311" s="7"/>
      <c r="J1311" s="5"/>
      <c r="K1311" s="5"/>
      <c r="L1311" s="5"/>
      <c r="N1311" s="2"/>
      <c r="O1311" s="2"/>
      <c r="P1311" s="2"/>
      <c r="Q1311" s="2"/>
      <c r="R1311" s="2"/>
      <c r="S1311" s="2"/>
      <c r="T1311" s="10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.75" hidden="false" customHeight="false" outlineLevel="0" collapsed="false">
      <c r="A1312" s="2"/>
      <c r="B1312" s="2"/>
      <c r="C1312" s="2"/>
      <c r="D1312" s="2"/>
      <c r="E1312" s="2"/>
      <c r="F1312" s="2"/>
      <c r="G1312" s="2"/>
      <c r="I1312" s="7"/>
      <c r="J1312" s="5"/>
      <c r="K1312" s="5"/>
      <c r="L1312" s="5"/>
      <c r="N1312" s="2"/>
      <c r="O1312" s="2"/>
      <c r="P1312" s="2"/>
      <c r="Q1312" s="2"/>
      <c r="R1312" s="2"/>
      <c r="S1312" s="2"/>
      <c r="T1312" s="10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.75" hidden="false" customHeight="false" outlineLevel="0" collapsed="false">
      <c r="A1313" s="2"/>
      <c r="B1313" s="2"/>
      <c r="C1313" s="2"/>
      <c r="D1313" s="2"/>
      <c r="E1313" s="2"/>
      <c r="F1313" s="2"/>
      <c r="G1313" s="2"/>
      <c r="I1313" s="7"/>
      <c r="J1313" s="5"/>
      <c r="K1313" s="5"/>
      <c r="L1313" s="5"/>
      <c r="N1313" s="2"/>
      <c r="O1313" s="2"/>
      <c r="P1313" s="2"/>
      <c r="Q1313" s="2"/>
      <c r="R1313" s="2"/>
      <c r="S1313" s="2"/>
      <c r="T1313" s="10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.75" hidden="false" customHeight="false" outlineLevel="0" collapsed="false">
      <c r="A1314" s="2"/>
      <c r="B1314" s="2"/>
      <c r="C1314" s="2"/>
      <c r="D1314" s="2"/>
      <c r="E1314" s="2"/>
      <c r="F1314" s="2"/>
      <c r="G1314" s="2"/>
      <c r="I1314" s="7"/>
      <c r="J1314" s="5"/>
      <c r="K1314" s="5"/>
      <c r="L1314" s="5"/>
      <c r="N1314" s="2"/>
      <c r="O1314" s="2"/>
      <c r="P1314" s="2"/>
      <c r="Q1314" s="2"/>
      <c r="R1314" s="2"/>
      <c r="S1314" s="2"/>
      <c r="T1314" s="10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.75" hidden="false" customHeight="false" outlineLevel="0" collapsed="false">
      <c r="A1315" s="2"/>
      <c r="B1315" s="2"/>
      <c r="C1315" s="2"/>
      <c r="D1315" s="2"/>
      <c r="E1315" s="2"/>
      <c r="F1315" s="2"/>
      <c r="G1315" s="2"/>
      <c r="I1315" s="7"/>
      <c r="J1315" s="5"/>
      <c r="K1315" s="5"/>
      <c r="L1315" s="5"/>
      <c r="N1315" s="2"/>
      <c r="O1315" s="2"/>
      <c r="P1315" s="2"/>
      <c r="Q1315" s="2"/>
      <c r="R1315" s="2"/>
      <c r="S1315" s="2"/>
      <c r="T1315" s="10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.75" hidden="false" customHeight="false" outlineLevel="0" collapsed="false">
      <c r="A1316" s="2"/>
      <c r="B1316" s="2"/>
      <c r="C1316" s="2"/>
      <c r="D1316" s="2"/>
      <c r="E1316" s="2"/>
      <c r="F1316" s="2"/>
      <c r="G1316" s="2"/>
      <c r="I1316" s="7"/>
      <c r="J1316" s="5"/>
      <c r="K1316" s="5"/>
      <c r="L1316" s="5"/>
      <c r="N1316" s="2"/>
      <c r="O1316" s="2"/>
      <c r="P1316" s="2"/>
      <c r="Q1316" s="2"/>
      <c r="R1316" s="2"/>
      <c r="S1316" s="2"/>
      <c r="T1316" s="10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.75" hidden="false" customHeight="false" outlineLevel="0" collapsed="false">
      <c r="A1317" s="2"/>
      <c r="B1317" s="2"/>
      <c r="C1317" s="2"/>
      <c r="D1317" s="2"/>
      <c r="E1317" s="2"/>
      <c r="F1317" s="2"/>
      <c r="G1317" s="2"/>
      <c r="I1317" s="7"/>
      <c r="J1317" s="5"/>
      <c r="K1317" s="5"/>
      <c r="L1317" s="5"/>
      <c r="N1317" s="2"/>
      <c r="O1317" s="2"/>
      <c r="P1317" s="2"/>
      <c r="Q1317" s="2"/>
      <c r="R1317" s="2"/>
      <c r="S1317" s="2"/>
      <c r="T1317" s="10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.75" hidden="false" customHeight="false" outlineLevel="0" collapsed="false">
      <c r="A1318" s="2"/>
      <c r="B1318" s="2"/>
      <c r="C1318" s="2"/>
      <c r="D1318" s="2"/>
      <c r="E1318" s="2"/>
      <c r="F1318" s="2"/>
      <c r="G1318" s="2"/>
      <c r="I1318" s="7"/>
      <c r="J1318" s="5"/>
      <c r="K1318" s="5"/>
      <c r="L1318" s="5"/>
      <c r="N1318" s="2"/>
      <c r="O1318" s="2"/>
      <c r="P1318" s="2"/>
      <c r="Q1318" s="2"/>
      <c r="R1318" s="2"/>
      <c r="S1318" s="2"/>
      <c r="T1318" s="10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.75" hidden="false" customHeight="false" outlineLevel="0" collapsed="false">
      <c r="A1319" s="2"/>
      <c r="B1319" s="2"/>
      <c r="C1319" s="2"/>
      <c r="D1319" s="2"/>
      <c r="E1319" s="2"/>
      <c r="F1319" s="2"/>
      <c r="G1319" s="2"/>
      <c r="I1319" s="7"/>
      <c r="J1319" s="5"/>
      <c r="K1319" s="5"/>
      <c r="L1319" s="5"/>
      <c r="N1319" s="2"/>
      <c r="O1319" s="2"/>
      <c r="P1319" s="2"/>
      <c r="Q1319" s="2"/>
      <c r="R1319" s="2"/>
      <c r="S1319" s="2"/>
      <c r="T1319" s="10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.75" hidden="false" customHeight="false" outlineLevel="0" collapsed="false">
      <c r="A1320" s="2"/>
      <c r="B1320" s="2"/>
      <c r="C1320" s="2"/>
      <c r="D1320" s="2"/>
      <c r="E1320" s="2"/>
      <c r="F1320" s="2"/>
      <c r="G1320" s="2"/>
      <c r="I1320" s="7"/>
      <c r="J1320" s="5"/>
      <c r="K1320" s="5"/>
      <c r="L1320" s="5"/>
      <c r="N1320" s="2"/>
      <c r="O1320" s="2"/>
      <c r="P1320" s="2"/>
      <c r="Q1320" s="2"/>
      <c r="R1320" s="2"/>
      <c r="S1320" s="2"/>
      <c r="T1320" s="10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.75" hidden="false" customHeight="false" outlineLevel="0" collapsed="false">
      <c r="A1321" s="2"/>
      <c r="B1321" s="2"/>
      <c r="C1321" s="2"/>
      <c r="D1321" s="2"/>
      <c r="E1321" s="2"/>
      <c r="F1321" s="2"/>
      <c r="G1321" s="2"/>
      <c r="I1321" s="7"/>
      <c r="J1321" s="5"/>
      <c r="K1321" s="5"/>
      <c r="L1321" s="5"/>
      <c r="N1321" s="2"/>
      <c r="O1321" s="2"/>
      <c r="P1321" s="2"/>
      <c r="Q1321" s="2"/>
      <c r="R1321" s="2"/>
      <c r="S1321" s="2"/>
      <c r="T1321" s="10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.75" hidden="false" customHeight="false" outlineLevel="0" collapsed="false">
      <c r="A1322" s="2"/>
      <c r="B1322" s="2"/>
      <c r="C1322" s="2"/>
      <c r="D1322" s="2"/>
      <c r="E1322" s="2"/>
      <c r="F1322" s="2"/>
      <c r="G1322" s="2"/>
      <c r="I1322" s="7"/>
      <c r="J1322" s="5"/>
      <c r="K1322" s="5"/>
      <c r="L1322" s="5"/>
      <c r="N1322" s="2"/>
      <c r="O1322" s="2"/>
      <c r="P1322" s="2"/>
      <c r="Q1322" s="2"/>
      <c r="R1322" s="2"/>
      <c r="S1322" s="2"/>
      <c r="T1322" s="10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.75" hidden="false" customHeight="false" outlineLevel="0" collapsed="false">
      <c r="A1323" s="2"/>
      <c r="B1323" s="2"/>
      <c r="C1323" s="2"/>
      <c r="D1323" s="2"/>
      <c r="E1323" s="2"/>
      <c r="F1323" s="2"/>
      <c r="G1323" s="2"/>
      <c r="I1323" s="7"/>
      <c r="J1323" s="5"/>
      <c r="K1323" s="5"/>
      <c r="L1323" s="5"/>
      <c r="N1323" s="2"/>
      <c r="O1323" s="2"/>
      <c r="P1323" s="2"/>
      <c r="Q1323" s="2"/>
      <c r="R1323" s="2"/>
      <c r="S1323" s="2"/>
      <c r="T1323" s="10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.75" hidden="false" customHeight="false" outlineLevel="0" collapsed="false">
      <c r="A1324" s="2"/>
      <c r="B1324" s="2"/>
      <c r="C1324" s="2"/>
      <c r="D1324" s="2"/>
      <c r="E1324" s="2"/>
      <c r="F1324" s="2"/>
      <c r="G1324" s="2"/>
      <c r="I1324" s="7"/>
      <c r="J1324" s="5"/>
      <c r="K1324" s="5"/>
      <c r="L1324" s="5"/>
      <c r="N1324" s="2"/>
      <c r="O1324" s="2"/>
      <c r="P1324" s="2"/>
      <c r="Q1324" s="2"/>
      <c r="R1324" s="2"/>
      <c r="S1324" s="2"/>
      <c r="T1324" s="10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.75" hidden="false" customHeight="false" outlineLevel="0" collapsed="false">
      <c r="A1325" s="2"/>
      <c r="B1325" s="2"/>
      <c r="C1325" s="2"/>
      <c r="D1325" s="2"/>
      <c r="E1325" s="2"/>
      <c r="F1325" s="2"/>
      <c r="G1325" s="2"/>
      <c r="I1325" s="7"/>
      <c r="J1325" s="5"/>
      <c r="K1325" s="5"/>
      <c r="L1325" s="5"/>
      <c r="N1325" s="2"/>
      <c r="O1325" s="2"/>
      <c r="P1325" s="2"/>
      <c r="Q1325" s="2"/>
      <c r="R1325" s="2"/>
      <c r="S1325" s="2"/>
      <c r="T1325" s="10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.75" hidden="false" customHeight="false" outlineLevel="0" collapsed="false">
      <c r="A1326" s="2"/>
      <c r="B1326" s="2"/>
      <c r="C1326" s="2"/>
      <c r="D1326" s="2"/>
      <c r="E1326" s="2"/>
      <c r="F1326" s="2"/>
      <c r="G1326" s="2"/>
      <c r="I1326" s="7"/>
      <c r="J1326" s="5"/>
      <c r="K1326" s="5"/>
      <c r="L1326" s="5"/>
      <c r="N1326" s="2"/>
      <c r="O1326" s="2"/>
      <c r="P1326" s="2"/>
      <c r="Q1326" s="2"/>
      <c r="R1326" s="2"/>
      <c r="S1326" s="2"/>
      <c r="T1326" s="10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.75" hidden="false" customHeight="false" outlineLevel="0" collapsed="false">
      <c r="A1327" s="2"/>
      <c r="B1327" s="2"/>
      <c r="C1327" s="2"/>
      <c r="D1327" s="2"/>
      <c r="E1327" s="2"/>
      <c r="F1327" s="2"/>
      <c r="G1327" s="2"/>
      <c r="I1327" s="7"/>
      <c r="J1327" s="5"/>
      <c r="K1327" s="5"/>
      <c r="L1327" s="5"/>
      <c r="N1327" s="2"/>
      <c r="O1327" s="2"/>
      <c r="P1327" s="2"/>
      <c r="Q1327" s="2"/>
      <c r="R1327" s="2"/>
      <c r="S1327" s="2"/>
      <c r="T1327" s="10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.75" hidden="false" customHeight="false" outlineLevel="0" collapsed="false">
      <c r="A1328" s="2"/>
      <c r="B1328" s="2"/>
      <c r="C1328" s="2"/>
      <c r="D1328" s="2"/>
      <c r="E1328" s="2"/>
      <c r="F1328" s="2"/>
      <c r="G1328" s="2"/>
      <c r="I1328" s="7"/>
      <c r="J1328" s="5"/>
      <c r="K1328" s="5"/>
      <c r="L1328" s="5"/>
      <c r="N1328" s="2"/>
      <c r="O1328" s="2"/>
      <c r="P1328" s="2"/>
      <c r="Q1328" s="2"/>
      <c r="R1328" s="2"/>
      <c r="S1328" s="2"/>
      <c r="T1328" s="10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.75" hidden="false" customHeight="false" outlineLevel="0" collapsed="false">
      <c r="A1329" s="2"/>
      <c r="B1329" s="2"/>
      <c r="C1329" s="2"/>
      <c r="D1329" s="2"/>
      <c r="E1329" s="2"/>
      <c r="F1329" s="2"/>
      <c r="G1329" s="2"/>
      <c r="I1329" s="7"/>
      <c r="J1329" s="5"/>
      <c r="K1329" s="5"/>
      <c r="L1329" s="5"/>
      <c r="N1329" s="2"/>
      <c r="O1329" s="2"/>
      <c r="P1329" s="2"/>
      <c r="Q1329" s="2"/>
      <c r="R1329" s="2"/>
      <c r="S1329" s="2"/>
      <c r="T1329" s="10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.75" hidden="false" customHeight="false" outlineLevel="0" collapsed="false">
      <c r="A1330" s="2"/>
      <c r="B1330" s="2"/>
      <c r="C1330" s="2"/>
      <c r="D1330" s="2"/>
      <c r="E1330" s="2"/>
      <c r="F1330" s="2"/>
      <c r="G1330" s="2"/>
      <c r="I1330" s="7"/>
      <c r="J1330" s="5"/>
      <c r="K1330" s="5"/>
      <c r="L1330" s="5"/>
      <c r="N1330" s="2"/>
      <c r="O1330" s="2"/>
      <c r="P1330" s="2"/>
      <c r="Q1330" s="2"/>
      <c r="R1330" s="2"/>
      <c r="S1330" s="2"/>
      <c r="T1330" s="10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.75" hidden="false" customHeight="false" outlineLevel="0" collapsed="false">
      <c r="A1331" s="2"/>
      <c r="B1331" s="2"/>
      <c r="C1331" s="2"/>
      <c r="D1331" s="2"/>
      <c r="E1331" s="2"/>
      <c r="F1331" s="2"/>
      <c r="G1331" s="2"/>
      <c r="I1331" s="7"/>
      <c r="J1331" s="5"/>
      <c r="K1331" s="5"/>
      <c r="L1331" s="5"/>
      <c r="N1331" s="2"/>
      <c r="O1331" s="2"/>
      <c r="P1331" s="2"/>
      <c r="Q1331" s="2"/>
      <c r="R1331" s="2"/>
      <c r="S1331" s="2"/>
      <c r="T1331" s="10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.75" hidden="false" customHeight="false" outlineLevel="0" collapsed="false">
      <c r="A1332" s="2"/>
      <c r="B1332" s="2"/>
      <c r="C1332" s="2"/>
      <c r="D1332" s="2"/>
      <c r="E1332" s="2"/>
      <c r="F1332" s="2"/>
      <c r="G1332" s="2"/>
      <c r="I1332" s="7"/>
      <c r="J1332" s="5"/>
      <c r="K1332" s="5"/>
      <c r="L1332" s="5"/>
      <c r="N1332" s="2"/>
      <c r="O1332" s="2"/>
      <c r="P1332" s="2"/>
      <c r="Q1332" s="2"/>
      <c r="R1332" s="2"/>
      <c r="S1332" s="2"/>
      <c r="T1332" s="10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.75" hidden="false" customHeight="false" outlineLevel="0" collapsed="false">
      <c r="A1333" s="2"/>
      <c r="B1333" s="2"/>
      <c r="C1333" s="2"/>
      <c r="D1333" s="2"/>
      <c r="E1333" s="2"/>
      <c r="F1333" s="2"/>
      <c r="G1333" s="2"/>
      <c r="I1333" s="7"/>
      <c r="J1333" s="5"/>
      <c r="K1333" s="5"/>
      <c r="L1333" s="5"/>
      <c r="N1333" s="2"/>
      <c r="O1333" s="2"/>
      <c r="P1333" s="2"/>
      <c r="Q1333" s="2"/>
      <c r="R1333" s="2"/>
      <c r="S1333" s="2"/>
      <c r="T1333" s="10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.75" hidden="false" customHeight="false" outlineLevel="0" collapsed="false">
      <c r="A1334" s="2"/>
      <c r="B1334" s="2"/>
      <c r="C1334" s="2"/>
      <c r="D1334" s="2"/>
      <c r="E1334" s="2"/>
      <c r="F1334" s="2"/>
      <c r="G1334" s="2"/>
      <c r="I1334" s="7"/>
      <c r="J1334" s="5"/>
      <c r="K1334" s="5"/>
      <c r="L1334" s="5"/>
      <c r="N1334" s="2"/>
      <c r="O1334" s="2"/>
      <c r="P1334" s="2"/>
      <c r="Q1334" s="2"/>
      <c r="R1334" s="2"/>
      <c r="S1334" s="2"/>
      <c r="T1334" s="10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.75" hidden="false" customHeight="false" outlineLevel="0" collapsed="false">
      <c r="A1335" s="2"/>
      <c r="B1335" s="2"/>
      <c r="C1335" s="2"/>
      <c r="D1335" s="2"/>
      <c r="E1335" s="2"/>
      <c r="F1335" s="2"/>
      <c r="G1335" s="2"/>
      <c r="I1335" s="7"/>
      <c r="J1335" s="5"/>
      <c r="K1335" s="5"/>
      <c r="L1335" s="5"/>
      <c r="N1335" s="2"/>
      <c r="O1335" s="2"/>
      <c r="P1335" s="2"/>
      <c r="Q1335" s="2"/>
      <c r="R1335" s="2"/>
      <c r="S1335" s="2"/>
      <c r="T1335" s="10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.75" hidden="false" customHeight="false" outlineLevel="0" collapsed="false">
      <c r="A1336" s="2"/>
      <c r="B1336" s="2"/>
      <c r="C1336" s="2"/>
      <c r="D1336" s="2"/>
      <c r="E1336" s="2"/>
      <c r="F1336" s="2"/>
      <c r="G1336" s="2"/>
      <c r="I1336" s="7"/>
      <c r="J1336" s="5"/>
      <c r="K1336" s="5"/>
      <c r="L1336" s="5"/>
      <c r="N1336" s="2"/>
      <c r="O1336" s="2"/>
      <c r="P1336" s="2"/>
      <c r="Q1336" s="2"/>
      <c r="R1336" s="2"/>
      <c r="S1336" s="2"/>
      <c r="T1336" s="10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.75" hidden="false" customHeight="false" outlineLevel="0" collapsed="false">
      <c r="A1337" s="2"/>
      <c r="B1337" s="2"/>
      <c r="C1337" s="2"/>
      <c r="D1337" s="2"/>
      <c r="E1337" s="2"/>
      <c r="F1337" s="2"/>
      <c r="G1337" s="2"/>
      <c r="I1337" s="7"/>
      <c r="J1337" s="5"/>
      <c r="K1337" s="5"/>
      <c r="L1337" s="5"/>
      <c r="N1337" s="2"/>
      <c r="O1337" s="2"/>
      <c r="P1337" s="2"/>
      <c r="Q1337" s="2"/>
      <c r="R1337" s="2"/>
      <c r="S1337" s="2"/>
      <c r="T1337" s="10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.75" hidden="false" customHeight="false" outlineLevel="0" collapsed="false">
      <c r="A1338" s="2"/>
      <c r="B1338" s="2"/>
      <c r="C1338" s="2"/>
      <c r="D1338" s="2"/>
      <c r="E1338" s="2"/>
      <c r="F1338" s="2"/>
      <c r="G1338" s="2"/>
      <c r="I1338" s="7"/>
      <c r="J1338" s="5"/>
      <c r="K1338" s="5"/>
      <c r="L1338" s="5"/>
      <c r="N1338" s="2"/>
      <c r="O1338" s="2"/>
      <c r="P1338" s="2"/>
      <c r="Q1338" s="2"/>
      <c r="R1338" s="2"/>
      <c r="S1338" s="2"/>
      <c r="T1338" s="10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.75" hidden="false" customHeight="false" outlineLevel="0" collapsed="false">
      <c r="A1339" s="2"/>
      <c r="B1339" s="2"/>
      <c r="C1339" s="2"/>
      <c r="D1339" s="2"/>
      <c r="E1339" s="2"/>
      <c r="F1339" s="2"/>
      <c r="G1339" s="2"/>
      <c r="I1339" s="7"/>
      <c r="J1339" s="5"/>
      <c r="K1339" s="5"/>
      <c r="L1339" s="5"/>
      <c r="N1339" s="2"/>
      <c r="O1339" s="2"/>
      <c r="P1339" s="2"/>
      <c r="Q1339" s="2"/>
      <c r="R1339" s="2"/>
      <c r="S1339" s="2"/>
      <c r="T1339" s="10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.75" hidden="false" customHeight="false" outlineLevel="0" collapsed="false">
      <c r="A1340" s="2"/>
      <c r="B1340" s="2"/>
      <c r="C1340" s="2"/>
      <c r="D1340" s="2"/>
      <c r="E1340" s="2"/>
      <c r="F1340" s="2"/>
      <c r="G1340" s="2"/>
      <c r="I1340" s="7"/>
      <c r="J1340" s="5"/>
      <c r="K1340" s="5"/>
      <c r="L1340" s="5"/>
      <c r="N1340" s="2"/>
      <c r="O1340" s="2"/>
      <c r="P1340" s="2"/>
      <c r="Q1340" s="2"/>
      <c r="R1340" s="2"/>
      <c r="S1340" s="2"/>
      <c r="T1340" s="10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.75" hidden="false" customHeight="false" outlineLevel="0" collapsed="false">
      <c r="A1341" s="2"/>
      <c r="B1341" s="2"/>
      <c r="C1341" s="2"/>
      <c r="D1341" s="2"/>
      <c r="E1341" s="2"/>
      <c r="F1341" s="2"/>
      <c r="G1341" s="2"/>
      <c r="I1341" s="7"/>
      <c r="J1341" s="5"/>
      <c r="K1341" s="5"/>
      <c r="L1341" s="5"/>
      <c r="N1341" s="2"/>
      <c r="O1341" s="2"/>
      <c r="P1341" s="2"/>
      <c r="Q1341" s="2"/>
      <c r="R1341" s="2"/>
      <c r="S1341" s="2"/>
      <c r="T1341" s="10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.75" hidden="false" customHeight="false" outlineLevel="0" collapsed="false">
      <c r="A1342" s="2"/>
      <c r="B1342" s="2"/>
      <c r="C1342" s="2"/>
      <c r="D1342" s="2"/>
      <c r="E1342" s="2"/>
      <c r="F1342" s="2"/>
      <c r="G1342" s="2"/>
      <c r="I1342" s="7"/>
      <c r="J1342" s="5"/>
      <c r="K1342" s="5"/>
      <c r="L1342" s="5"/>
      <c r="N1342" s="2"/>
      <c r="O1342" s="2"/>
      <c r="P1342" s="2"/>
      <c r="Q1342" s="2"/>
      <c r="R1342" s="2"/>
      <c r="S1342" s="2"/>
      <c r="T1342" s="10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.75" hidden="false" customHeight="false" outlineLevel="0" collapsed="false">
      <c r="A1343" s="2"/>
      <c r="B1343" s="2"/>
      <c r="C1343" s="2"/>
      <c r="D1343" s="2"/>
      <c r="E1343" s="2"/>
      <c r="F1343" s="2"/>
      <c r="G1343" s="2"/>
      <c r="I1343" s="7"/>
      <c r="J1343" s="5"/>
      <c r="K1343" s="5"/>
      <c r="L1343" s="5"/>
      <c r="N1343" s="2"/>
      <c r="O1343" s="2"/>
      <c r="P1343" s="2"/>
      <c r="Q1343" s="2"/>
      <c r="R1343" s="2"/>
      <c r="S1343" s="2"/>
      <c r="T1343" s="10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.75" hidden="false" customHeight="false" outlineLevel="0" collapsed="false">
      <c r="A1344" s="2"/>
      <c r="B1344" s="2"/>
      <c r="C1344" s="2"/>
      <c r="D1344" s="2"/>
      <c r="E1344" s="2"/>
      <c r="F1344" s="2"/>
      <c r="G1344" s="2"/>
      <c r="I1344" s="7"/>
      <c r="J1344" s="5"/>
      <c r="K1344" s="5"/>
      <c r="L1344" s="5"/>
      <c r="N1344" s="2"/>
      <c r="O1344" s="2"/>
      <c r="P1344" s="2"/>
      <c r="Q1344" s="2"/>
      <c r="R1344" s="2"/>
      <c r="S1344" s="2"/>
      <c r="T1344" s="10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.75" hidden="false" customHeight="false" outlineLevel="0" collapsed="false">
      <c r="A1345" s="2"/>
      <c r="B1345" s="2"/>
      <c r="C1345" s="2"/>
      <c r="D1345" s="2"/>
      <c r="E1345" s="2"/>
      <c r="F1345" s="2"/>
      <c r="G1345" s="2"/>
      <c r="I1345" s="7"/>
      <c r="J1345" s="5"/>
      <c r="K1345" s="5"/>
      <c r="L1345" s="5"/>
      <c r="N1345" s="2"/>
      <c r="O1345" s="2"/>
      <c r="P1345" s="2"/>
      <c r="Q1345" s="2"/>
      <c r="R1345" s="2"/>
      <c r="S1345" s="2"/>
      <c r="T1345" s="10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.75" hidden="false" customHeight="false" outlineLevel="0" collapsed="false">
      <c r="A1346" s="2"/>
      <c r="B1346" s="2"/>
      <c r="C1346" s="2"/>
      <c r="D1346" s="2"/>
      <c r="E1346" s="2"/>
      <c r="F1346" s="2"/>
      <c r="G1346" s="2"/>
      <c r="I1346" s="7"/>
      <c r="J1346" s="5"/>
      <c r="K1346" s="5"/>
      <c r="L1346" s="5"/>
      <c r="N1346" s="2"/>
      <c r="O1346" s="2"/>
      <c r="P1346" s="2"/>
      <c r="Q1346" s="2"/>
      <c r="R1346" s="2"/>
      <c r="S1346" s="2"/>
      <c r="T1346" s="10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.75" hidden="false" customHeight="false" outlineLevel="0" collapsed="false">
      <c r="I1347" s="7"/>
      <c r="J1347" s="5"/>
      <c r="K1347" s="5"/>
      <c r="L1347" s="5"/>
    </row>
    <row r="1348" customFormat="false" ht="15.75" hidden="false" customHeight="false" outlineLevel="0" collapsed="false">
      <c r="I1348" s="7"/>
      <c r="J1348" s="5"/>
      <c r="K1348" s="5"/>
      <c r="L1348" s="5"/>
    </row>
    <row r="1349" customFormat="false" ht="15.75" hidden="false" customHeight="false" outlineLevel="0" collapsed="false">
      <c r="I1349" s="7"/>
      <c r="J1349" s="5"/>
      <c r="K1349" s="5"/>
      <c r="L1349" s="5"/>
    </row>
    <row r="1350" customFormat="false" ht="15.75" hidden="false" customHeight="false" outlineLevel="0" collapsed="false">
      <c r="I1350" s="7"/>
      <c r="J1350" s="5"/>
      <c r="K1350" s="5"/>
      <c r="L1350" s="5"/>
    </row>
    <row r="1351" customFormat="false" ht="15.75" hidden="false" customHeight="false" outlineLevel="0" collapsed="false">
      <c r="I1351" s="7"/>
      <c r="J1351" s="5"/>
      <c r="K1351" s="5"/>
      <c r="L1351" s="5"/>
    </row>
    <row r="1352" customFormat="false" ht="15.75" hidden="false" customHeight="false" outlineLevel="0" collapsed="false">
      <c r="I1352" s="7"/>
      <c r="J1352" s="5"/>
      <c r="K1352" s="5"/>
      <c r="L1352" s="5"/>
    </row>
    <row r="1353" customFormat="false" ht="15.75" hidden="false" customHeight="false" outlineLevel="0" collapsed="false">
      <c r="I1353" s="7"/>
      <c r="J1353" s="5"/>
      <c r="K1353" s="5"/>
      <c r="L1353" s="5"/>
    </row>
    <row r="1354" customFormat="false" ht="15.75" hidden="false" customHeight="false" outlineLevel="0" collapsed="false">
      <c r="I1354" s="7"/>
      <c r="J1354" s="5"/>
      <c r="K1354" s="5"/>
      <c r="L1354" s="5"/>
    </row>
    <row r="1355" customFormat="false" ht="15.75" hidden="false" customHeight="false" outlineLevel="0" collapsed="false">
      <c r="I1355" s="7"/>
      <c r="J1355" s="5"/>
      <c r="K1355" s="5"/>
      <c r="L1355" s="5"/>
    </row>
    <row r="1356" customFormat="false" ht="15.75" hidden="false" customHeight="false" outlineLevel="0" collapsed="false">
      <c r="I1356" s="7"/>
      <c r="J1356" s="5"/>
      <c r="K1356" s="5"/>
      <c r="L1356" s="5"/>
    </row>
    <row r="1357" customFormat="false" ht="15.75" hidden="false" customHeight="false" outlineLevel="0" collapsed="false">
      <c r="I1357" s="7"/>
      <c r="J1357" s="5"/>
      <c r="K1357" s="5"/>
      <c r="L1357" s="5"/>
    </row>
    <row r="1358" customFormat="false" ht="15.75" hidden="false" customHeight="false" outlineLevel="0" collapsed="false">
      <c r="I1358" s="7"/>
      <c r="J1358" s="5"/>
      <c r="K1358" s="5"/>
      <c r="L1358" s="5"/>
    </row>
    <row r="1359" customFormat="false" ht="15.75" hidden="false" customHeight="false" outlineLevel="0" collapsed="false">
      <c r="I1359" s="7"/>
      <c r="J1359" s="5"/>
      <c r="K1359" s="5"/>
      <c r="L1359" s="5"/>
    </row>
    <row r="1360" customFormat="false" ht="15.75" hidden="false" customHeight="false" outlineLevel="0" collapsed="false">
      <c r="I1360" s="7"/>
      <c r="J1360" s="5"/>
      <c r="K1360" s="5"/>
      <c r="L1360" s="5"/>
    </row>
    <row r="1361" customFormat="false" ht="15.75" hidden="false" customHeight="false" outlineLevel="0" collapsed="false">
      <c r="I1361" s="7"/>
      <c r="J1361" s="5"/>
      <c r="K1361" s="5"/>
      <c r="L1361" s="5"/>
    </row>
    <row r="1362" customFormat="false" ht="15.75" hidden="false" customHeight="false" outlineLevel="0" collapsed="false">
      <c r="I1362" s="7"/>
      <c r="J1362" s="5"/>
      <c r="K1362" s="5"/>
      <c r="L1362" s="5"/>
    </row>
    <row r="1363" customFormat="false" ht="15.75" hidden="false" customHeight="false" outlineLevel="0" collapsed="false">
      <c r="I1363" s="7"/>
      <c r="J1363" s="5"/>
      <c r="K1363" s="5"/>
      <c r="L1363" s="5"/>
    </row>
    <row r="1364" customFormat="false" ht="15.75" hidden="false" customHeight="false" outlineLevel="0" collapsed="false">
      <c r="I1364" s="7"/>
      <c r="J1364" s="5"/>
      <c r="K1364" s="5"/>
      <c r="L1364" s="5"/>
    </row>
    <row r="1365" customFormat="false" ht="15.75" hidden="false" customHeight="false" outlineLevel="0" collapsed="false">
      <c r="I1365" s="7"/>
      <c r="J1365" s="5"/>
      <c r="K1365" s="5"/>
      <c r="L1365" s="5"/>
    </row>
    <row r="1366" customFormat="false" ht="15.75" hidden="false" customHeight="false" outlineLevel="0" collapsed="false">
      <c r="I1366" s="7"/>
      <c r="J1366" s="5"/>
      <c r="K1366" s="5"/>
      <c r="L1366" s="5"/>
    </row>
    <row r="1367" customFormat="false" ht="15.75" hidden="false" customHeight="false" outlineLevel="0" collapsed="false">
      <c r="I1367" s="7"/>
      <c r="J1367" s="5"/>
      <c r="K1367" s="5"/>
      <c r="L1367" s="5"/>
    </row>
    <row r="1368" customFormat="false" ht="15.75" hidden="false" customHeight="false" outlineLevel="0" collapsed="false">
      <c r="I1368" s="7"/>
      <c r="J1368" s="5"/>
      <c r="K1368" s="5"/>
      <c r="L1368" s="5"/>
    </row>
    <row r="1369" customFormat="false" ht="15.75" hidden="false" customHeight="false" outlineLevel="0" collapsed="false">
      <c r="I1369" s="7"/>
      <c r="J1369" s="5"/>
      <c r="K1369" s="5"/>
      <c r="L1369" s="5"/>
    </row>
    <row r="1370" customFormat="false" ht="15.75" hidden="false" customHeight="false" outlineLevel="0" collapsed="false">
      <c r="I1370" s="7"/>
      <c r="J1370" s="5"/>
      <c r="K1370" s="5"/>
      <c r="L1370" s="5"/>
    </row>
    <row r="1371" customFormat="false" ht="15.75" hidden="false" customHeight="false" outlineLevel="0" collapsed="false">
      <c r="I1371" s="7"/>
      <c r="J1371" s="5"/>
      <c r="K1371" s="5"/>
      <c r="L1371" s="5"/>
    </row>
    <row r="1372" customFormat="false" ht="15.75" hidden="false" customHeight="false" outlineLevel="0" collapsed="false">
      <c r="I1372" s="7"/>
      <c r="J1372" s="5"/>
      <c r="K1372" s="5"/>
      <c r="L1372" s="5"/>
    </row>
    <row r="1373" customFormat="false" ht="15.75" hidden="false" customHeight="false" outlineLevel="0" collapsed="false">
      <c r="I1373" s="7"/>
      <c r="J1373" s="5"/>
      <c r="K1373" s="5"/>
      <c r="L1373" s="5"/>
    </row>
    <row r="1374" customFormat="false" ht="15.75" hidden="false" customHeight="false" outlineLevel="0" collapsed="false">
      <c r="I1374" s="7"/>
      <c r="J1374" s="5"/>
      <c r="K1374" s="5"/>
      <c r="L1374" s="5"/>
    </row>
    <row r="1375" customFormat="false" ht="15.75" hidden="false" customHeight="false" outlineLevel="0" collapsed="false">
      <c r="I1375" s="7"/>
      <c r="J1375" s="5"/>
      <c r="K1375" s="5"/>
      <c r="L1375" s="5"/>
    </row>
    <row r="1376" customFormat="false" ht="15.75" hidden="false" customHeight="false" outlineLevel="0" collapsed="false">
      <c r="I1376" s="7"/>
      <c r="J1376" s="5"/>
      <c r="K1376" s="5"/>
      <c r="L1376" s="5"/>
    </row>
    <row r="1377" customFormat="false" ht="15.75" hidden="false" customHeight="false" outlineLevel="0" collapsed="false">
      <c r="I1377" s="7"/>
      <c r="J1377" s="5"/>
      <c r="K1377" s="5"/>
      <c r="L1377" s="5"/>
    </row>
    <row r="1378" customFormat="false" ht="15.75" hidden="false" customHeight="false" outlineLevel="0" collapsed="false">
      <c r="I1378" s="7"/>
      <c r="J1378" s="5"/>
      <c r="K1378" s="5"/>
      <c r="L1378" s="5"/>
    </row>
    <row r="1379" customFormat="false" ht="15.75" hidden="false" customHeight="false" outlineLevel="0" collapsed="false">
      <c r="I1379" s="7"/>
      <c r="J1379" s="5"/>
      <c r="K1379" s="5"/>
      <c r="L1379" s="5"/>
    </row>
    <row r="1380" customFormat="false" ht="15.75" hidden="false" customHeight="false" outlineLevel="0" collapsed="false">
      <c r="I1380" s="7"/>
      <c r="J1380" s="5"/>
      <c r="K1380" s="5"/>
      <c r="L1380" s="5"/>
    </row>
    <row r="1381" customFormat="false" ht="15.75" hidden="false" customHeight="false" outlineLevel="0" collapsed="false">
      <c r="I1381" s="7"/>
      <c r="J1381" s="5"/>
      <c r="K1381" s="5"/>
      <c r="L1381" s="5"/>
    </row>
    <row r="1382" customFormat="false" ht="15.75" hidden="false" customHeight="false" outlineLevel="0" collapsed="false">
      <c r="I1382" s="7"/>
      <c r="J1382" s="5"/>
      <c r="K1382" s="5"/>
      <c r="L1382" s="5"/>
    </row>
    <row r="1383" customFormat="false" ht="15.75" hidden="false" customHeight="false" outlineLevel="0" collapsed="false">
      <c r="I1383" s="7"/>
      <c r="J1383" s="5"/>
      <c r="K1383" s="5"/>
      <c r="L1383" s="5"/>
    </row>
    <row r="1384" customFormat="false" ht="15.75" hidden="false" customHeight="false" outlineLevel="0" collapsed="false">
      <c r="I1384" s="7"/>
      <c r="J1384" s="5"/>
      <c r="K1384" s="5"/>
      <c r="L1384" s="5"/>
    </row>
    <row r="1385" customFormat="false" ht="15.75" hidden="false" customHeight="false" outlineLevel="0" collapsed="false">
      <c r="I1385" s="7"/>
      <c r="J1385" s="5"/>
      <c r="K1385" s="5"/>
      <c r="L1385" s="5"/>
    </row>
    <row r="1386" customFormat="false" ht="15.75" hidden="false" customHeight="false" outlineLevel="0" collapsed="false">
      <c r="I1386" s="7"/>
      <c r="J1386" s="5"/>
      <c r="K1386" s="5"/>
      <c r="L1386" s="5"/>
    </row>
    <row r="1387" customFormat="false" ht="15.75" hidden="false" customHeight="false" outlineLevel="0" collapsed="false">
      <c r="I1387" s="7"/>
      <c r="J1387" s="5"/>
      <c r="K1387" s="5"/>
      <c r="L1387" s="5"/>
    </row>
    <row r="1388" customFormat="false" ht="15.75" hidden="false" customHeight="false" outlineLevel="0" collapsed="false">
      <c r="I1388" s="7"/>
      <c r="J1388" s="5"/>
      <c r="K1388" s="5"/>
      <c r="L1388" s="5"/>
    </row>
    <row r="1389" customFormat="false" ht="15.75" hidden="false" customHeight="false" outlineLevel="0" collapsed="false">
      <c r="I1389" s="7"/>
      <c r="J1389" s="5"/>
      <c r="K1389" s="5"/>
      <c r="L1389" s="5"/>
    </row>
    <row r="1390" customFormat="false" ht="15.75" hidden="false" customHeight="false" outlineLevel="0" collapsed="false">
      <c r="I1390" s="7"/>
      <c r="J1390" s="5"/>
      <c r="K1390" s="5"/>
      <c r="L1390" s="5"/>
    </row>
    <row r="1391" customFormat="false" ht="15.75" hidden="false" customHeight="false" outlineLevel="0" collapsed="false">
      <c r="I1391" s="7"/>
      <c r="J1391" s="5"/>
      <c r="K1391" s="5"/>
      <c r="L1391" s="5"/>
    </row>
    <row r="1392" customFormat="false" ht="15.75" hidden="false" customHeight="false" outlineLevel="0" collapsed="false">
      <c r="I1392" s="7"/>
      <c r="J1392" s="5"/>
      <c r="K1392" s="5"/>
      <c r="L1392" s="5"/>
    </row>
    <row r="1393" customFormat="false" ht="15.75" hidden="false" customHeight="false" outlineLevel="0" collapsed="false">
      <c r="I1393" s="7"/>
      <c r="J1393" s="5"/>
      <c r="K1393" s="5"/>
      <c r="L1393" s="5"/>
    </row>
    <row r="1394" customFormat="false" ht="15.75" hidden="false" customHeight="false" outlineLevel="0" collapsed="false">
      <c r="I1394" s="7"/>
      <c r="J1394" s="5"/>
      <c r="K1394" s="5"/>
      <c r="L1394" s="5"/>
    </row>
    <row r="1395" customFormat="false" ht="15.75" hidden="false" customHeight="false" outlineLevel="0" collapsed="false">
      <c r="I1395" s="7"/>
      <c r="J1395" s="5"/>
      <c r="K1395" s="5"/>
      <c r="L1395" s="5"/>
    </row>
    <row r="1396" customFormat="false" ht="15.75" hidden="false" customHeight="false" outlineLevel="0" collapsed="false">
      <c r="I1396" s="7"/>
      <c r="J1396" s="5"/>
      <c r="K1396" s="5"/>
      <c r="L1396" s="5"/>
    </row>
    <row r="1397" customFormat="false" ht="15.75" hidden="false" customHeight="false" outlineLevel="0" collapsed="false">
      <c r="I1397" s="7"/>
      <c r="J1397" s="5"/>
      <c r="K1397" s="5"/>
      <c r="L1397" s="5"/>
    </row>
    <row r="1398" customFormat="false" ht="15.75" hidden="false" customHeight="false" outlineLevel="0" collapsed="false">
      <c r="I1398" s="7"/>
      <c r="J1398" s="5"/>
      <c r="K1398" s="5"/>
      <c r="L1398" s="5"/>
    </row>
    <row r="1399" customFormat="false" ht="15.75" hidden="false" customHeight="false" outlineLevel="0" collapsed="false">
      <c r="I1399" s="7"/>
      <c r="J1399" s="5"/>
      <c r="K1399" s="5"/>
      <c r="L1399" s="5"/>
    </row>
    <row r="1400" customFormat="false" ht="15.75" hidden="false" customHeight="false" outlineLevel="0" collapsed="false">
      <c r="I1400" s="7"/>
      <c r="J1400" s="5"/>
      <c r="K1400" s="5"/>
      <c r="L1400" s="5"/>
    </row>
    <row r="1401" customFormat="false" ht="15.75" hidden="false" customHeight="false" outlineLevel="0" collapsed="false">
      <c r="I1401" s="7"/>
      <c r="J1401" s="5"/>
      <c r="K1401" s="5"/>
      <c r="L1401" s="5"/>
    </row>
    <row r="1402" customFormat="false" ht="15.75" hidden="false" customHeight="false" outlineLevel="0" collapsed="false">
      <c r="I1402" s="7"/>
      <c r="J1402" s="5"/>
      <c r="K1402" s="5"/>
      <c r="L1402" s="5"/>
    </row>
    <row r="1403" customFormat="false" ht="15.75" hidden="false" customHeight="false" outlineLevel="0" collapsed="false">
      <c r="I1403" s="7"/>
      <c r="J1403" s="5"/>
      <c r="K1403" s="5"/>
      <c r="L1403" s="5"/>
    </row>
    <row r="1404" customFormat="false" ht="15.75" hidden="false" customHeight="false" outlineLevel="0" collapsed="false">
      <c r="I1404" s="7"/>
      <c r="J1404" s="5"/>
      <c r="K1404" s="5"/>
      <c r="L1404" s="5"/>
    </row>
    <row r="1405" customFormat="false" ht="15.75" hidden="false" customHeight="false" outlineLevel="0" collapsed="false">
      <c r="I1405" s="7"/>
      <c r="J1405" s="5"/>
      <c r="K1405" s="5"/>
      <c r="L1405" s="5"/>
    </row>
    <row r="1406" customFormat="false" ht="15.75" hidden="false" customHeight="false" outlineLevel="0" collapsed="false">
      <c r="I1406" s="7"/>
      <c r="J1406" s="5"/>
      <c r="K1406" s="5"/>
      <c r="L1406" s="5"/>
    </row>
    <row r="1407" customFormat="false" ht="15.75" hidden="false" customHeight="false" outlineLevel="0" collapsed="false">
      <c r="I1407" s="7"/>
      <c r="J1407" s="5"/>
      <c r="K1407" s="5"/>
      <c r="L1407" s="5"/>
    </row>
    <row r="1408" customFormat="false" ht="15.75" hidden="false" customHeight="false" outlineLevel="0" collapsed="false">
      <c r="I1408" s="7"/>
      <c r="J1408" s="5"/>
      <c r="K1408" s="5"/>
      <c r="L1408" s="5"/>
    </row>
    <row r="1409" customFormat="false" ht="15.75" hidden="false" customHeight="false" outlineLevel="0" collapsed="false">
      <c r="I1409" s="7"/>
      <c r="J1409" s="5"/>
      <c r="K1409" s="5"/>
      <c r="L1409" s="5"/>
    </row>
    <row r="1410" customFormat="false" ht="15.75" hidden="false" customHeight="false" outlineLevel="0" collapsed="false">
      <c r="I1410" s="7"/>
      <c r="J1410" s="5"/>
      <c r="K1410" s="5"/>
      <c r="L1410" s="5"/>
    </row>
    <row r="1411" customFormat="false" ht="15.75" hidden="false" customHeight="false" outlineLevel="0" collapsed="false">
      <c r="I1411" s="7"/>
      <c r="J1411" s="5"/>
      <c r="K1411" s="5"/>
      <c r="L1411" s="5"/>
    </row>
    <row r="1412" customFormat="false" ht="15.75" hidden="false" customHeight="false" outlineLevel="0" collapsed="false">
      <c r="I1412" s="7"/>
      <c r="J1412" s="5"/>
      <c r="K1412" s="5"/>
      <c r="L1412" s="5"/>
    </row>
    <row r="1413" customFormat="false" ht="15.75" hidden="false" customHeight="false" outlineLevel="0" collapsed="false">
      <c r="I1413" s="7"/>
      <c r="J1413" s="5"/>
      <c r="K1413" s="5"/>
      <c r="L1413" s="5"/>
    </row>
    <row r="1414" customFormat="false" ht="15.75" hidden="false" customHeight="false" outlineLevel="0" collapsed="false">
      <c r="I1414" s="7"/>
      <c r="J1414" s="5"/>
      <c r="K1414" s="5"/>
      <c r="L1414" s="5"/>
    </row>
    <row r="1415" customFormat="false" ht="15.75" hidden="false" customHeight="false" outlineLevel="0" collapsed="false">
      <c r="I1415" s="7"/>
      <c r="J1415" s="5"/>
      <c r="K1415" s="5"/>
      <c r="L1415" s="5"/>
    </row>
    <row r="1416" customFormat="false" ht="15.75" hidden="false" customHeight="false" outlineLevel="0" collapsed="false">
      <c r="I1416" s="7"/>
      <c r="J1416" s="5"/>
      <c r="K1416" s="5"/>
      <c r="L1416" s="5"/>
    </row>
    <row r="1417" customFormat="false" ht="15.75" hidden="false" customHeight="false" outlineLevel="0" collapsed="false">
      <c r="I1417" s="7"/>
      <c r="J1417" s="5"/>
      <c r="K1417" s="5"/>
      <c r="L1417" s="5"/>
    </row>
    <row r="1418" customFormat="false" ht="15.75" hidden="false" customHeight="false" outlineLevel="0" collapsed="false">
      <c r="I1418" s="7"/>
      <c r="J1418" s="5"/>
      <c r="K1418" s="5"/>
      <c r="L1418" s="5"/>
    </row>
    <row r="1419" customFormat="false" ht="15.75" hidden="false" customHeight="false" outlineLevel="0" collapsed="false">
      <c r="I1419" s="7"/>
      <c r="J1419" s="5"/>
      <c r="K1419" s="5"/>
      <c r="L1419" s="5"/>
    </row>
    <row r="1420" customFormat="false" ht="15.75" hidden="false" customHeight="false" outlineLevel="0" collapsed="false">
      <c r="I1420" s="7"/>
      <c r="J1420" s="5"/>
      <c r="K1420" s="5"/>
      <c r="L1420" s="5"/>
    </row>
    <row r="1421" customFormat="false" ht="15.75" hidden="false" customHeight="false" outlineLevel="0" collapsed="false">
      <c r="I1421" s="7"/>
      <c r="J1421" s="5"/>
      <c r="K1421" s="5"/>
      <c r="L1421" s="5"/>
    </row>
    <row r="1422" customFormat="false" ht="15.75" hidden="false" customHeight="false" outlineLevel="0" collapsed="false">
      <c r="I1422" s="7"/>
      <c r="J1422" s="5"/>
      <c r="K1422" s="5"/>
      <c r="L1422" s="5"/>
    </row>
    <row r="1423" customFormat="false" ht="15.75" hidden="false" customHeight="false" outlineLevel="0" collapsed="false">
      <c r="I1423" s="7"/>
      <c r="J1423" s="5"/>
      <c r="K1423" s="5"/>
      <c r="L1423" s="5"/>
    </row>
    <row r="1424" customFormat="false" ht="15.75" hidden="false" customHeight="false" outlineLevel="0" collapsed="false">
      <c r="I1424" s="7"/>
      <c r="J1424" s="5"/>
      <c r="K1424" s="5"/>
      <c r="L1424" s="5"/>
    </row>
    <row r="1425" customFormat="false" ht="15.75" hidden="false" customHeight="false" outlineLevel="0" collapsed="false">
      <c r="I1425" s="7"/>
      <c r="J1425" s="5"/>
      <c r="K1425" s="5"/>
      <c r="L1425" s="5"/>
    </row>
    <row r="1426" customFormat="false" ht="15.75" hidden="false" customHeight="false" outlineLevel="0" collapsed="false">
      <c r="I1426" s="7"/>
      <c r="J1426" s="5"/>
      <c r="K1426" s="5"/>
      <c r="L1426" s="5"/>
    </row>
    <row r="1427" customFormat="false" ht="15.75" hidden="false" customHeight="false" outlineLevel="0" collapsed="false">
      <c r="I1427" s="7"/>
      <c r="J1427" s="5"/>
      <c r="K1427" s="5"/>
      <c r="L1427" s="5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">
    <cfRule type="expression" priority="3" aboveAverage="0" equalAverage="0" bottom="0" percent="0" rank="0" text="" dxfId="12">
      <formula>LEN(TRIM(G58))=0</formula>
    </cfRule>
  </conditionalFormatting>
  <conditionalFormatting sqref="D58:F72">
    <cfRule type="expression" priority="4" aboveAverage="0" equalAverage="0" bottom="0" percent="0" rank="0" text="" dxfId="13">
      <formula>LEN(TRIM(D58))=0</formula>
    </cfRule>
  </conditionalFormatting>
  <conditionalFormatting sqref="C13">
    <cfRule type="expression" priority="5" aboveAverage="0" equalAverage="0" bottom="0" percent="0" rank="0" text="" dxfId="14">
      <formula>LEN(TRIM(C13))=0</formula>
    </cfRule>
    <cfRule type="cellIs" priority="6" operator="equal" aboveAverage="0" equalAverage="0" bottom="0" percent="0" rank="0" text="" dxfId="15">
      <formula>$G$13</formula>
    </cfRule>
    <cfRule type="cellIs" priority="7" operator="greaterThan" aboveAverage="0" equalAverage="0" bottom="0" percent="0" rank="0" text="" dxfId="16">
      <formula>$F$13</formula>
    </cfRule>
    <cfRule type="cellIs" priority="8" operator="equal" aboveAverage="0" equalAverage="0" bottom="0" percent="0" rank="0" text="" dxfId="17">
      <formula>$F$13</formula>
    </cfRule>
    <cfRule type="cellIs" priority="9" operator="greaterThan" aboveAverage="0" equalAverage="0" bottom="0" percent="0" rank="0" text="" dxfId="18">
      <formula>$E$13</formula>
    </cfRule>
    <cfRule type="cellIs" priority="10" operator="equal" aboveAverage="0" equalAverage="0" bottom="0" percent="0" rank="0" text="" dxfId="19">
      <formula>$E$13</formula>
    </cfRule>
    <cfRule type="cellIs" priority="11" operator="greaterThan" aboveAverage="0" equalAverage="0" bottom="0" percent="0" rank="0" text="" dxfId="20">
      <formula>$D$13</formula>
    </cfRule>
    <cfRule type="cellIs" priority="12" operator="equal" aboveAverage="0" equalAverage="0" bottom="0" percent="0" rank="0" text="" dxfId="21">
      <formula>$D$13</formula>
    </cfRule>
    <cfRule type="cellIs" priority="13" operator="lessThan" aboveAverage="0" equalAverage="0" bottom="0" percent="0" rank="0" text="" dxfId="22">
      <formula>$D$13</formula>
    </cfRule>
  </conditionalFormatting>
  <conditionalFormatting sqref="C12">
    <cfRule type="expression" priority="14" aboveAverage="0" equalAverage="0" bottom="0" percent="0" rank="0" text="" dxfId="23">
      <formula>LEN(TRIM(C12))=0</formula>
    </cfRule>
    <cfRule type="cellIs" priority="15" operator="equal" aboveAverage="0" equalAverage="0" bottom="0" percent="0" rank="0" text="" dxfId="24">
      <formula>$G$12</formula>
    </cfRule>
    <cfRule type="cellIs" priority="16" operator="greaterThan" aboveAverage="0" equalAverage="0" bottom="0" percent="0" rank="0" text="" dxfId="25">
      <formula>$F$12</formula>
    </cfRule>
    <cfRule type="cellIs" priority="17" operator="equal" aboveAverage="0" equalAverage="0" bottom="0" percent="0" rank="0" text="" dxfId="26">
      <formula>$F$12</formula>
    </cfRule>
    <cfRule type="cellIs" priority="18" operator="greaterThan" aboveAverage="0" equalAverage="0" bottom="0" percent="0" rank="0" text="" dxfId="27">
      <formula>$E$12</formula>
    </cfRule>
    <cfRule type="cellIs" priority="19" operator="equal" aboveAverage="0" equalAverage="0" bottom="0" percent="0" rank="0" text="" dxfId="28">
      <formula>$E$12</formula>
    </cfRule>
    <cfRule type="cellIs" priority="20" operator="greaterThan" aboveAverage="0" equalAverage="0" bottom="0" percent="0" rank="0" text="" dxfId="29">
      <formula>$D$12</formula>
    </cfRule>
    <cfRule type="cellIs" priority="21" operator="equal" aboveAverage="0" equalAverage="0" bottom="0" percent="0" rank="0" text="" dxfId="30">
      <formula>$D$12</formula>
    </cfRule>
    <cfRule type="cellIs" priority="22" operator="lessThan" aboveAverage="0" equalAverage="0" bottom="0" percent="0" rank="0" text="" dxfId="31">
      <formula>$D$12</formula>
    </cfRule>
  </conditionalFormatting>
  <conditionalFormatting sqref="C25">
    <cfRule type="expression" priority="23" aboveAverage="0" equalAverage="0" bottom="0" percent="0" rank="0" text="" dxfId="32">
      <formula>LEN(TRIM(C25))=0</formula>
    </cfRule>
    <cfRule type="cellIs" priority="24" operator="equal" aboveAverage="0" equalAverage="0" bottom="0" percent="0" rank="0" text="" dxfId="33">
      <formula>$G$25</formula>
    </cfRule>
    <cfRule type="cellIs" priority="25" operator="greaterThan" aboveAverage="0" equalAverage="0" bottom="0" percent="0" rank="0" text="" dxfId="34">
      <formula>$F$25</formula>
    </cfRule>
    <cfRule type="cellIs" priority="26" operator="equal" aboveAverage="0" equalAverage="0" bottom="0" percent="0" rank="0" text="" dxfId="35">
      <formula>$F$25</formula>
    </cfRule>
    <cfRule type="cellIs" priority="27" operator="greaterThan" aboveAverage="0" equalAverage="0" bottom="0" percent="0" rank="0" text="" dxfId="36">
      <formula>$E$25</formula>
    </cfRule>
    <cfRule type="cellIs" priority="28" operator="equal" aboveAverage="0" equalAverage="0" bottom="0" percent="0" rank="0" text="" dxfId="37">
      <formula>$E$25</formula>
    </cfRule>
    <cfRule type="cellIs" priority="29" operator="greaterThan" aboveAverage="0" equalAverage="0" bottom="0" percent="0" rank="0" text="" dxfId="38">
      <formula>$D$25</formula>
    </cfRule>
    <cfRule type="cellIs" priority="30" operator="equal" aboveAverage="0" equalAverage="0" bottom="0" percent="0" rank="0" text="" dxfId="39">
      <formula>$D$25</formula>
    </cfRule>
    <cfRule type="cellIs" priority="31" operator="lessThan" aboveAverage="0" equalAverage="0" bottom="0" percent="0" rank="0" text="" dxfId="40">
      <formula>$D$25</formula>
    </cfRule>
  </conditionalFormatting>
  <conditionalFormatting sqref="C24">
    <cfRule type="expression" priority="32" aboveAverage="0" equalAverage="0" bottom="0" percent="0" rank="0" text="" dxfId="41">
      <formula>LEN(TRIM(C24))=0</formula>
    </cfRule>
    <cfRule type="cellIs" priority="33" operator="equal" aboveAverage="0" equalAverage="0" bottom="0" percent="0" rank="0" text="" dxfId="42">
      <formula>$G$24</formula>
    </cfRule>
    <cfRule type="cellIs" priority="34" operator="greaterThan" aboveAverage="0" equalAverage="0" bottom="0" percent="0" rank="0" text="" dxfId="43">
      <formula>$F$24</formula>
    </cfRule>
    <cfRule type="cellIs" priority="35" operator="equal" aboveAverage="0" equalAverage="0" bottom="0" percent="0" rank="0" text="" dxfId="44">
      <formula>$F$24</formula>
    </cfRule>
    <cfRule type="cellIs" priority="36" operator="greaterThan" aboveAverage="0" equalAverage="0" bottom="0" percent="0" rank="0" text="" dxfId="45">
      <formula>$E$24</formula>
    </cfRule>
    <cfRule type="cellIs" priority="37" operator="equal" aboveAverage="0" equalAverage="0" bottom="0" percent="0" rank="0" text="" dxfId="46">
      <formula>$E$24</formula>
    </cfRule>
    <cfRule type="cellIs" priority="38" operator="greaterThan" aboveAverage="0" equalAverage="0" bottom="0" percent="0" rank="0" text="" dxfId="47">
      <formula>$D$24</formula>
    </cfRule>
    <cfRule type="cellIs" priority="39" operator="equal" aboveAverage="0" equalAverage="0" bottom="0" percent="0" rank="0" text="" dxfId="48">
      <formula>$D$24</formula>
    </cfRule>
    <cfRule type="cellIs" priority="40" operator="lessThan" aboveAverage="0" equalAverage="0" bottom="0" percent="0" rank="0" text="" dxfId="49">
      <formula>$D$24</formula>
    </cfRule>
  </conditionalFormatting>
  <conditionalFormatting sqref="C23">
    <cfRule type="expression" priority="41" aboveAverage="0" equalAverage="0" bottom="0" percent="0" rank="0" text="" dxfId="50">
      <formula>LEN(TRIM(C23))=0</formula>
    </cfRule>
    <cfRule type="cellIs" priority="42" operator="equal" aboveAverage="0" equalAverage="0" bottom="0" percent="0" rank="0" text="" dxfId="51">
      <formula>$G$23</formula>
    </cfRule>
    <cfRule type="cellIs" priority="43" operator="greaterThan" aboveAverage="0" equalAverage="0" bottom="0" percent="0" rank="0" text="" dxfId="52">
      <formula>$F$23</formula>
    </cfRule>
    <cfRule type="cellIs" priority="44" operator="equal" aboveAverage="0" equalAverage="0" bottom="0" percent="0" rank="0" text="" dxfId="53">
      <formula>$F$23</formula>
    </cfRule>
    <cfRule type="cellIs" priority="45" operator="greaterThan" aboveAverage="0" equalAverage="0" bottom="0" percent="0" rank="0" text="" dxfId="54">
      <formula>$E$23</formula>
    </cfRule>
    <cfRule type="cellIs" priority="46" operator="equal" aboveAverage="0" equalAverage="0" bottom="0" percent="0" rank="0" text="" dxfId="55">
      <formula>$E$23</formula>
    </cfRule>
    <cfRule type="cellIs" priority="47" operator="greaterThan" aboveAverage="0" equalAverage="0" bottom="0" percent="0" rank="0" text="" dxfId="56">
      <formula>$D$23</formula>
    </cfRule>
    <cfRule type="cellIs" priority="48" operator="equal" aboveAverage="0" equalAverage="0" bottom="0" percent="0" rank="0" text="" dxfId="57">
      <formula>$D$23</formula>
    </cfRule>
    <cfRule type="cellIs" priority="49" operator="lessThan" aboveAverage="0" equalAverage="0" bottom="0" percent="0" rank="0" text="" dxfId="58">
      <formula>$D$23</formula>
    </cfRule>
  </conditionalFormatting>
  <conditionalFormatting sqref="C22">
    <cfRule type="expression" priority="50" aboveAverage="0" equalAverage="0" bottom="0" percent="0" rank="0" text="" dxfId="59">
      <formula>LEN(TRIM(C22))=0</formula>
    </cfRule>
    <cfRule type="cellIs" priority="51" operator="equal" aboveAverage="0" equalAverage="0" bottom="0" percent="0" rank="0" text="" dxfId="60">
      <formula>$G$22</formula>
    </cfRule>
    <cfRule type="cellIs" priority="52" operator="greaterThan" aboveAverage="0" equalAverage="0" bottom="0" percent="0" rank="0" text="" dxfId="61">
      <formula>$F$22</formula>
    </cfRule>
    <cfRule type="cellIs" priority="53" operator="equal" aboveAverage="0" equalAverage="0" bottom="0" percent="0" rank="0" text="" dxfId="62">
      <formula>$F$22</formula>
    </cfRule>
    <cfRule type="cellIs" priority="54" operator="greaterThan" aboveAverage="0" equalAverage="0" bottom="0" percent="0" rank="0" text="" dxfId="63">
      <formula>$E$22</formula>
    </cfRule>
    <cfRule type="cellIs" priority="55" operator="equal" aboveAverage="0" equalAverage="0" bottom="0" percent="0" rank="0" text="" dxfId="64">
      <formula>$E$22</formula>
    </cfRule>
    <cfRule type="cellIs" priority="56" operator="greaterThan" aboveAverage="0" equalAverage="0" bottom="0" percent="0" rank="0" text="" dxfId="65">
      <formula>$D$22</formula>
    </cfRule>
    <cfRule type="cellIs" priority="57" operator="equal" aboveAverage="0" equalAverage="0" bottom="0" percent="0" rank="0" text="" dxfId="66">
      <formula>$D$22</formula>
    </cfRule>
    <cfRule type="cellIs" priority="58" operator="lessThan" aboveAverage="0" equalAverage="0" bottom="0" percent="0" rank="0" text="" dxfId="67">
      <formula>$D$22</formula>
    </cfRule>
  </conditionalFormatting>
  <conditionalFormatting sqref="C21">
    <cfRule type="expression" priority="59" aboveAverage="0" equalAverage="0" bottom="0" percent="0" rank="0" text="" dxfId="68">
      <formula>LEN(TRIM(C21))=0</formula>
    </cfRule>
    <cfRule type="cellIs" priority="60" operator="equal" aboveAverage="0" equalAverage="0" bottom="0" percent="0" rank="0" text="" dxfId="69">
      <formula>$G$21</formula>
    </cfRule>
    <cfRule type="cellIs" priority="61" operator="greaterThan" aboveAverage="0" equalAverage="0" bottom="0" percent="0" rank="0" text="" dxfId="70">
      <formula>$F$21</formula>
    </cfRule>
    <cfRule type="cellIs" priority="62" operator="equal" aboveAverage="0" equalAverage="0" bottom="0" percent="0" rank="0" text="" dxfId="71">
      <formula>$F$21</formula>
    </cfRule>
    <cfRule type="cellIs" priority="63" operator="greaterThan" aboveAverage="0" equalAverage="0" bottom="0" percent="0" rank="0" text="" dxfId="72">
      <formula>$E$21</formula>
    </cfRule>
    <cfRule type="cellIs" priority="64" operator="equal" aboveAverage="0" equalAverage="0" bottom="0" percent="0" rank="0" text="" dxfId="73">
      <formula>$E$21</formula>
    </cfRule>
    <cfRule type="cellIs" priority="65" operator="greaterThan" aboveAverage="0" equalAverage="0" bottom="0" percent="0" rank="0" text="" dxfId="74">
      <formula>$D$21</formula>
    </cfRule>
    <cfRule type="cellIs" priority="66" operator="equal" aboveAverage="0" equalAverage="0" bottom="0" percent="0" rank="0" text="" dxfId="75">
      <formula>$D$21</formula>
    </cfRule>
    <cfRule type="cellIs" priority="67" operator="lessThan" aboveAverage="0" equalAverage="0" bottom="0" percent="0" rank="0" text="" dxfId="76">
      <formula>$D$21</formula>
    </cfRule>
  </conditionalFormatting>
  <conditionalFormatting sqref="C20">
    <cfRule type="expression" priority="68" aboveAverage="0" equalAverage="0" bottom="0" percent="0" rank="0" text="" dxfId="77">
      <formula>LEN(TRIM(C20))=0</formula>
    </cfRule>
    <cfRule type="cellIs" priority="69" operator="equal" aboveAverage="0" equalAverage="0" bottom="0" percent="0" rank="0" text="" dxfId="78">
      <formula>$G$20</formula>
    </cfRule>
    <cfRule type="cellIs" priority="70" operator="greaterThan" aboveAverage="0" equalAverage="0" bottom="0" percent="0" rank="0" text="" dxfId="79">
      <formula>$F$20</formula>
    </cfRule>
    <cfRule type="cellIs" priority="71" operator="equal" aboveAverage="0" equalAverage="0" bottom="0" percent="0" rank="0" text="" dxfId="80">
      <formula>$F$20</formula>
    </cfRule>
    <cfRule type="cellIs" priority="72" operator="greaterThan" aboveAverage="0" equalAverage="0" bottom="0" percent="0" rank="0" text="" dxfId="81">
      <formula>$E$20</formula>
    </cfRule>
    <cfRule type="cellIs" priority="73" operator="equal" aboveAverage="0" equalAverage="0" bottom="0" percent="0" rank="0" text="" dxfId="82">
      <formula>$E$20</formula>
    </cfRule>
    <cfRule type="cellIs" priority="74" operator="greaterThan" aboveAverage="0" equalAverage="0" bottom="0" percent="0" rank="0" text="" dxfId="83">
      <formula>$D$20</formula>
    </cfRule>
    <cfRule type="cellIs" priority="75" operator="equal" aboveAverage="0" equalAverage="0" bottom="0" percent="0" rank="0" text="" dxfId="84">
      <formula>$D$20</formula>
    </cfRule>
    <cfRule type="cellIs" priority="76" operator="lessThan" aboveAverage="0" equalAverage="0" bottom="0" percent="0" rank="0" text="" dxfId="85">
      <formula>$D$20</formula>
    </cfRule>
  </conditionalFormatting>
  <conditionalFormatting sqref="C18">
    <cfRule type="expression" priority="77" aboveAverage="0" equalAverage="0" bottom="0" percent="0" rank="0" text="" dxfId="86">
      <formula>LEN(TRIM(C18))=0</formula>
    </cfRule>
    <cfRule type="cellIs" priority="78" operator="equal" aboveAverage="0" equalAverage="0" bottom="0" percent="0" rank="0" text="" dxfId="87">
      <formula>$G$18</formula>
    </cfRule>
    <cfRule type="cellIs" priority="79" operator="greaterThan" aboveAverage="0" equalAverage="0" bottom="0" percent="0" rank="0" text="" dxfId="88">
      <formula>$F$18</formula>
    </cfRule>
    <cfRule type="cellIs" priority="80" operator="equal" aboveAverage="0" equalAverage="0" bottom="0" percent="0" rank="0" text="" dxfId="89">
      <formula>$F$18</formula>
    </cfRule>
    <cfRule type="cellIs" priority="81" operator="greaterThan" aboveAverage="0" equalAverage="0" bottom="0" percent="0" rank="0" text="" dxfId="90">
      <formula>$E$18</formula>
    </cfRule>
    <cfRule type="cellIs" priority="82" operator="equal" aboveAverage="0" equalAverage="0" bottom="0" percent="0" rank="0" text="" dxfId="91">
      <formula>$E$18</formula>
    </cfRule>
    <cfRule type="cellIs" priority="83" operator="greaterThan" aboveAverage="0" equalAverage="0" bottom="0" percent="0" rank="0" text="" dxfId="92">
      <formula>$D$18</formula>
    </cfRule>
    <cfRule type="cellIs" priority="84" operator="equal" aboveAverage="0" equalAverage="0" bottom="0" percent="0" rank="0" text="" dxfId="93">
      <formula>$D$18</formula>
    </cfRule>
    <cfRule type="cellIs" priority="85" operator="lessThan" aboveAverage="0" equalAverage="0" bottom="0" percent="0" rank="0" text="" dxfId="94">
      <formula>$D$18</formula>
    </cfRule>
  </conditionalFormatting>
  <conditionalFormatting sqref="C17">
    <cfRule type="expression" priority="86" aboveAverage="0" equalAverage="0" bottom="0" percent="0" rank="0" text="" dxfId="95">
      <formula>LEN(TRIM(C17))=0</formula>
    </cfRule>
    <cfRule type="cellIs" priority="87" operator="equal" aboveAverage="0" equalAverage="0" bottom="0" percent="0" rank="0" text="" dxfId="96">
      <formula>$G$17</formula>
    </cfRule>
    <cfRule type="cellIs" priority="88" operator="greaterThan" aboveAverage="0" equalAverage="0" bottom="0" percent="0" rank="0" text="" dxfId="97">
      <formula>$F$17</formula>
    </cfRule>
    <cfRule type="cellIs" priority="89" operator="equal" aboveAverage="0" equalAverage="0" bottom="0" percent="0" rank="0" text="" dxfId="98">
      <formula>$F$17</formula>
    </cfRule>
    <cfRule type="cellIs" priority="90" operator="greaterThan" aboveAverage="0" equalAverage="0" bottom="0" percent="0" rank="0" text="" dxfId="99">
      <formula>$E$17</formula>
    </cfRule>
    <cfRule type="cellIs" priority="91" operator="equal" aboveAverage="0" equalAverage="0" bottom="0" percent="0" rank="0" text="" dxfId="100">
      <formula>$E$17</formula>
    </cfRule>
    <cfRule type="cellIs" priority="92" operator="greaterThan" aboveAverage="0" equalAverage="0" bottom="0" percent="0" rank="0" text="" dxfId="101">
      <formula>$D$17</formula>
    </cfRule>
    <cfRule type="cellIs" priority="93" operator="equal" aboveAverage="0" equalAverage="0" bottom="0" percent="0" rank="0" text="" dxfId="102">
      <formula>$D$17</formula>
    </cfRule>
    <cfRule type="cellIs" priority="94" operator="lessThan" aboveAverage="0" equalAverage="0" bottom="0" percent="0" rank="0" text="" dxfId="103">
      <formula>$D$17</formula>
    </cfRule>
  </conditionalFormatting>
  <conditionalFormatting sqref="C16">
    <cfRule type="expression" priority="95" aboveAverage="0" equalAverage="0" bottom="0" percent="0" rank="0" text="" dxfId="104">
      <formula>LEN(TRIM(C16))=0</formula>
    </cfRule>
    <cfRule type="cellIs" priority="96" operator="equal" aboveAverage="0" equalAverage="0" bottom="0" percent="0" rank="0" text="" dxfId="105">
      <formula>$G$16</formula>
    </cfRule>
    <cfRule type="cellIs" priority="97" operator="greaterThan" aboveAverage="0" equalAverage="0" bottom="0" percent="0" rank="0" text="" dxfId="106">
      <formula>$F$16</formula>
    </cfRule>
    <cfRule type="cellIs" priority="98" operator="equal" aboveAverage="0" equalAverage="0" bottom="0" percent="0" rank="0" text="" dxfId="107">
      <formula>$F$16</formula>
    </cfRule>
    <cfRule type="cellIs" priority="99" operator="greaterThan" aboveAverage="0" equalAverage="0" bottom="0" percent="0" rank="0" text="" dxfId="108">
      <formula>$E$16</formula>
    </cfRule>
    <cfRule type="cellIs" priority="100" operator="equal" aboveAverage="0" equalAverage="0" bottom="0" percent="0" rank="0" text="" dxfId="109">
      <formula>$E$16</formula>
    </cfRule>
    <cfRule type="cellIs" priority="101" operator="greaterThan" aboveAverage="0" equalAverage="0" bottom="0" percent="0" rank="0" text="" dxfId="110">
      <formula>$D$16</formula>
    </cfRule>
    <cfRule type="cellIs" priority="102" operator="equal" aboveAverage="0" equalAverage="0" bottom="0" percent="0" rank="0" text="" dxfId="111">
      <formula>$D$16</formula>
    </cfRule>
    <cfRule type="cellIs" priority="103" operator="lessThan" aboveAverage="0" equalAverage="0" bottom="0" percent="0" rank="0" text="" dxfId="112">
      <formula>$D$16</formula>
    </cfRule>
  </conditionalFormatting>
  <conditionalFormatting sqref="C15">
    <cfRule type="expression" priority="104" aboveAverage="0" equalAverage="0" bottom="0" percent="0" rank="0" text="" dxfId="113">
      <formula>LEN(TRIM(C15))=0</formula>
    </cfRule>
    <cfRule type="cellIs" priority="105" operator="equal" aboveAverage="0" equalAverage="0" bottom="0" percent="0" rank="0" text="" dxfId="114">
      <formula>$G$15</formula>
    </cfRule>
    <cfRule type="cellIs" priority="106" operator="greaterThan" aboveAverage="0" equalAverage="0" bottom="0" percent="0" rank="0" text="" dxfId="115">
      <formula>$F$15</formula>
    </cfRule>
    <cfRule type="cellIs" priority="107" operator="equal" aboveAverage="0" equalAverage="0" bottom="0" percent="0" rank="0" text="" dxfId="116">
      <formula>$F$15</formula>
    </cfRule>
    <cfRule type="cellIs" priority="108" operator="greaterThan" aboveAverage="0" equalAverage="0" bottom="0" percent="0" rank="0" text="" dxfId="117">
      <formula>$E$15</formula>
    </cfRule>
    <cfRule type="cellIs" priority="109" operator="equal" aboveAverage="0" equalAverage="0" bottom="0" percent="0" rank="0" text="" dxfId="118">
      <formula>$E$15</formula>
    </cfRule>
    <cfRule type="cellIs" priority="110" operator="greaterThan" aboveAverage="0" equalAverage="0" bottom="0" percent="0" rank="0" text="" dxfId="119">
      <formula>$D$15</formula>
    </cfRule>
    <cfRule type="cellIs" priority="111" operator="equal" aboveAverage="0" equalAverage="0" bottom="0" percent="0" rank="0" text="" dxfId="120">
      <formula>$D$15</formula>
    </cfRule>
    <cfRule type="cellIs" priority="112" operator="lessThan" aboveAverage="0" equalAverage="0" bottom="0" percent="0" rank="0" text="" dxfId="121">
      <formula>$D$15</formula>
    </cfRule>
  </conditionalFormatting>
  <conditionalFormatting sqref="C14">
    <cfRule type="expression" priority="113" aboveAverage="0" equalAverage="0" bottom="0" percent="0" rank="0" text="" dxfId="122">
      <formula>LEN(TRIM(C14))=0</formula>
    </cfRule>
    <cfRule type="cellIs" priority="114" operator="equal" aboveAverage="0" equalAverage="0" bottom="0" percent="0" rank="0" text="" dxfId="123">
      <formula>$G$14</formula>
    </cfRule>
    <cfRule type="cellIs" priority="115" operator="greaterThan" aboveAverage="0" equalAverage="0" bottom="0" percent="0" rank="0" text="" dxfId="124">
      <formula>$F$14</formula>
    </cfRule>
    <cfRule type="cellIs" priority="116" operator="equal" aboveAverage="0" equalAverage="0" bottom="0" percent="0" rank="0" text="" dxfId="125">
      <formula>$F$14</formula>
    </cfRule>
    <cfRule type="cellIs" priority="117" operator="greaterThan" aboveAverage="0" equalAverage="0" bottom="0" percent="0" rank="0" text="" dxfId="126">
      <formula>$E$14</formula>
    </cfRule>
    <cfRule type="cellIs" priority="118" operator="equal" aboveAverage="0" equalAverage="0" bottom="0" percent="0" rank="0" text="" dxfId="127">
      <formula>$E$14</formula>
    </cfRule>
    <cfRule type="cellIs" priority="119" operator="greaterThan" aboveAverage="0" equalAverage="0" bottom="0" percent="0" rank="0" text="" dxfId="128">
      <formula>$D$14</formula>
    </cfRule>
    <cfRule type="cellIs" priority="120" operator="equal" aboveAverage="0" equalAverage="0" bottom="0" percent="0" rank="0" text="" dxfId="129">
      <formula>$D$14</formula>
    </cfRule>
    <cfRule type="cellIs" priority="121" operator="lessThan" aboveAverage="0" equalAverage="0" bottom="0" percent="0" rank="0" text="" dxfId="130">
      <formula>$D$14</formula>
    </cfRule>
  </conditionalFormatting>
  <conditionalFormatting sqref="C26">
    <cfRule type="expression" priority="122" aboveAverage="0" equalAverage="0" bottom="0" percent="0" rank="0" text="" dxfId="131">
      <formula>LEN(TRIM(C26))=0</formula>
    </cfRule>
    <cfRule type="cellIs" priority="123" operator="equal" aboveAverage="0" equalAverage="0" bottom="0" percent="0" rank="0" text="" dxfId="132">
      <formula>$G$26</formula>
    </cfRule>
    <cfRule type="cellIs" priority="124" operator="greaterThan" aboveAverage="0" equalAverage="0" bottom="0" percent="0" rank="0" text="" dxfId="133">
      <formula>$F$26</formula>
    </cfRule>
    <cfRule type="cellIs" priority="125" operator="equal" aboveAverage="0" equalAverage="0" bottom="0" percent="0" rank="0" text="" dxfId="134">
      <formula>$F$26</formula>
    </cfRule>
    <cfRule type="cellIs" priority="126" operator="greaterThan" aboveAverage="0" equalAverage="0" bottom="0" percent="0" rank="0" text="" dxfId="135">
      <formula>$E$26</formula>
    </cfRule>
    <cfRule type="cellIs" priority="127" operator="equal" aboveAverage="0" equalAverage="0" bottom="0" percent="0" rank="0" text="" dxfId="136">
      <formula>$E$26</formula>
    </cfRule>
    <cfRule type="cellIs" priority="128" operator="greaterThan" aboveAverage="0" equalAverage="0" bottom="0" percent="0" rank="0" text="" dxfId="137">
      <formula>$D$26</formula>
    </cfRule>
    <cfRule type="cellIs" priority="129" operator="equal" aboveAverage="0" equalAverage="0" bottom="0" percent="0" rank="0" text="" dxfId="138">
      <formula>$D$26</formula>
    </cfRule>
    <cfRule type="cellIs" priority="130" operator="lessThan" aboveAverage="0" equalAverage="0" bottom="0" percent="0" rank="0" text="" dxfId="139">
      <formula>$D$26</formula>
    </cfRule>
  </conditionalFormatting>
  <conditionalFormatting sqref="C19">
    <cfRule type="expression" priority="131" aboveAverage="0" equalAverage="0" bottom="0" percent="0" rank="0" text="" dxfId="140">
      <formula>LEN(TRIM(C19))=0</formula>
    </cfRule>
    <cfRule type="cellIs" priority="132" operator="equal" aboveAverage="0" equalAverage="0" bottom="0" percent="0" rank="0" text="" dxfId="141">
      <formula>$G$19</formula>
    </cfRule>
    <cfRule type="cellIs" priority="133" operator="greaterThan" aboveAverage="0" equalAverage="0" bottom="0" percent="0" rank="0" text="" dxfId="142">
      <formula>$F$19</formula>
    </cfRule>
    <cfRule type="cellIs" priority="134" operator="equal" aboveAverage="0" equalAverage="0" bottom="0" percent="0" rank="0" text="" dxfId="143">
      <formula>$F$19</formula>
    </cfRule>
    <cfRule type="cellIs" priority="135" operator="greaterThan" aboveAverage="0" equalAverage="0" bottom="0" percent="0" rank="0" text="" dxfId="144">
      <formula>$E$19</formula>
    </cfRule>
    <cfRule type="cellIs" priority="136" operator="equal" aboveAverage="0" equalAverage="0" bottom="0" percent="0" rank="0" text="" dxfId="145">
      <formula>$E$19</formula>
    </cfRule>
    <cfRule type="cellIs" priority="137" operator="greaterThan" aboveAverage="0" equalAverage="0" bottom="0" percent="0" rank="0" text="" dxfId="146">
      <formula>$D$19</formula>
    </cfRule>
    <cfRule type="cellIs" priority="138" operator="equal" aboveAverage="0" equalAverage="0" bottom="0" percent="0" rank="0" text="" dxfId="147">
      <formula>$D$19</formula>
    </cfRule>
    <cfRule type="cellIs" priority="139" operator="lessThan" aboveAverage="0" equalAverage="0" bottom="0" percent="0" rank="0" text="" dxfId="148">
      <formula>$D$19</formula>
    </cfRule>
  </conditionalFormatting>
  <conditionalFormatting sqref="G12:G26">
    <cfRule type="expression" priority="140" aboveAverage="0" equalAverage="0" bottom="0" percent="0" rank="0" text="" dxfId="149">
      <formula>LEN(TRIM(G12))=0</formula>
    </cfRule>
  </conditionalFormatting>
  <conditionalFormatting sqref="D12:F26">
    <cfRule type="expression" priority="141" aboveAverage="0" equalAverage="0" bottom="0" percent="0" rank="0" text="" dxfId="150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1118" type="list">
      <formula1>Dates2</formula1>
      <formula2>0</formula2>
    </dataValidation>
    <dataValidation allowBlank="true" errorStyle="stop" operator="between" showDropDown="false" showErrorMessage="true" showInputMessage="true" sqref="I2:I111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111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17337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2023-03-24T08:43:47Z</dcterms:created>
  <dc:creator>Jason Prépa&amp;Performance</dc:creator>
  <dc:description/>
  <dc:language>fr-FR</dc:language>
  <cp:lastModifiedBy/>
  <dcterms:modified xsi:type="dcterms:W3CDTF">2026-03-17T15:21:18Z</dcterms:modified>
  <cp:revision>39</cp:revision>
  <dc:subject/>
  <dc:title>Rapport d'évaluation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